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iyansh\OneDrive\Desktop\RW_Exam\Excel\Final_project\"/>
    </mc:Choice>
  </mc:AlternateContent>
  <xr:revisionPtr revIDLastSave="0" documentId="13_ncr:1_{60150E54-0649-4EF5-B549-E2C0FDC871F3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aw Data" sheetId="1" r:id="rId1"/>
    <sheet name="Analysis" sheetId="2" r:id="rId2"/>
    <sheet name="Visualizations" sheetId="3" r:id="rId3"/>
    <sheet name="Dashboard" sheetId="4" r:id="rId4"/>
    <sheet name="Summary Report" sheetId="5" r:id="rId5"/>
  </sheets>
  <definedNames>
    <definedName name="_xlnm._FilterDatabase" localSheetId="0" hidden="1">'Raw Data'!$A$1:$N$1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2" i="4" l="1"/>
  <c r="A12" i="4"/>
  <c r="M6" i="4"/>
  <c r="I6" i="4" a="1"/>
  <c r="I6" i="4" s="1"/>
  <c r="E6" i="4"/>
  <c r="A6" i="4"/>
  <c r="G41" i="2"/>
  <c r="B12" i="5"/>
  <c r="B11" i="5"/>
  <c r="B10" i="5"/>
  <c r="B9" i="5"/>
  <c r="B8" i="5"/>
  <c r="B7" i="5"/>
  <c r="B6" i="5"/>
  <c r="B5" i="5"/>
  <c r="M28" i="4"/>
  <c r="I28" i="4"/>
  <c r="E28" i="4"/>
  <c r="A28" i="4"/>
  <c r="K23" i="4"/>
  <c r="J23" i="4"/>
  <c r="L23" i="4" s="1"/>
  <c r="H23" i="4"/>
  <c r="G23" i="4"/>
  <c r="F23" i="4"/>
  <c r="C23" i="4"/>
  <c r="B23" i="4"/>
  <c r="D23" i="4" s="1"/>
  <c r="K22" i="4"/>
  <c r="J22" i="4"/>
  <c r="L22" i="4" s="1"/>
  <c r="H22" i="4"/>
  <c r="G22" i="4"/>
  <c r="F22" i="4"/>
  <c r="C22" i="4"/>
  <c r="B22" i="4"/>
  <c r="D22" i="4" s="1"/>
  <c r="O21" i="4"/>
  <c r="N21" i="4"/>
  <c r="P21" i="4" s="1"/>
  <c r="K21" i="4"/>
  <c r="J21" i="4"/>
  <c r="L21" i="4" s="1"/>
  <c r="H21" i="4"/>
  <c r="G21" i="4"/>
  <c r="F21" i="4"/>
  <c r="C21" i="4"/>
  <c r="B21" i="4"/>
  <c r="D21" i="4" s="1"/>
  <c r="O20" i="4"/>
  <c r="N20" i="4"/>
  <c r="P20" i="4" s="1"/>
  <c r="K20" i="4"/>
  <c r="J20" i="4"/>
  <c r="L20" i="4" s="1"/>
  <c r="H20" i="4"/>
  <c r="G20" i="4"/>
  <c r="F20" i="4"/>
  <c r="C20" i="4"/>
  <c r="B20" i="4"/>
  <c r="D20" i="4" s="1"/>
  <c r="O19" i="4"/>
  <c r="N19" i="4"/>
  <c r="P19" i="4" s="1"/>
  <c r="K19" i="4"/>
  <c r="J19" i="4"/>
  <c r="L19" i="4" s="1"/>
  <c r="H19" i="4"/>
  <c r="G19" i="4"/>
  <c r="F19" i="4"/>
  <c r="C19" i="4"/>
  <c r="B19" i="4"/>
  <c r="D19" i="4" s="1"/>
  <c r="I12" i="4"/>
  <c r="E12" i="4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B15" i="3"/>
  <c r="B14" i="3"/>
  <c r="B13" i="3"/>
  <c r="B12" i="3"/>
  <c r="B11" i="3"/>
  <c r="G8" i="3"/>
  <c r="F8" i="3"/>
  <c r="G7" i="3"/>
  <c r="F7" i="3"/>
  <c r="C7" i="3"/>
  <c r="B7" i="3"/>
  <c r="G6" i="3"/>
  <c r="F6" i="3"/>
  <c r="C6" i="3"/>
  <c r="B6" i="3"/>
  <c r="G5" i="3"/>
  <c r="F5" i="3"/>
  <c r="C5" i="3"/>
  <c r="B5" i="3"/>
  <c r="H55" i="2"/>
  <c r="H54" i="2"/>
  <c r="H53" i="2"/>
  <c r="H52" i="2"/>
  <c r="H51" i="2"/>
  <c r="C47" i="2"/>
  <c r="B47" i="2"/>
  <c r="D47" i="2" s="1"/>
  <c r="C46" i="2"/>
  <c r="B46" i="2"/>
  <c r="D46" i="2" s="1"/>
  <c r="C45" i="2"/>
  <c r="B45" i="2"/>
  <c r="D45" i="2" s="1"/>
  <c r="C44" i="2"/>
  <c r="B44" i="2"/>
  <c r="D44" i="2" s="1"/>
  <c r="C43" i="2"/>
  <c r="B43" i="2"/>
  <c r="D43" i="2" s="1"/>
  <c r="C42" i="2"/>
  <c r="B42" i="2"/>
  <c r="D42" i="2" s="1"/>
  <c r="C41" i="2"/>
  <c r="B41" i="2"/>
  <c r="D41" i="2" s="1"/>
  <c r="C40" i="2"/>
  <c r="B40" i="2"/>
  <c r="D40" i="2" s="1"/>
  <c r="C39" i="2"/>
  <c r="B39" i="2"/>
  <c r="D39" i="2" s="1"/>
  <c r="H38" i="2"/>
  <c r="I38" i="2" s="1"/>
  <c r="G38" i="2"/>
  <c r="C38" i="2"/>
  <c r="B38" i="2"/>
  <c r="H37" i="2"/>
  <c r="I37" i="2" s="1"/>
  <c r="G37" i="2"/>
  <c r="H36" i="2"/>
  <c r="I36" i="2" s="1"/>
  <c r="G36" i="2"/>
  <c r="H35" i="2"/>
  <c r="I35" i="2" s="1"/>
  <c r="G35" i="2"/>
  <c r="D34" i="2"/>
  <c r="C34" i="2"/>
  <c r="D33" i="2"/>
  <c r="C33" i="2"/>
  <c r="D32" i="2"/>
  <c r="C32" i="2"/>
  <c r="L31" i="2"/>
  <c r="K31" i="2"/>
  <c r="I31" i="2"/>
  <c r="H31" i="2"/>
  <c r="J31" i="2" s="1"/>
  <c r="D31" i="2"/>
  <c r="C31" i="2"/>
  <c r="L30" i="2"/>
  <c r="K30" i="2"/>
  <c r="I30" i="2"/>
  <c r="H30" i="2"/>
  <c r="J30" i="2" s="1"/>
  <c r="D30" i="2"/>
  <c r="C30" i="2"/>
  <c r="L29" i="2"/>
  <c r="K29" i="2"/>
  <c r="I29" i="2"/>
  <c r="H29" i="2"/>
  <c r="J29" i="2" s="1"/>
  <c r="D29" i="2"/>
  <c r="C29" i="2"/>
  <c r="L28" i="2"/>
  <c r="K28" i="2"/>
  <c r="I28" i="2"/>
  <c r="J28" i="2" s="1"/>
  <c r="H28" i="2"/>
  <c r="D28" i="2"/>
  <c r="C28" i="2"/>
  <c r="L27" i="2"/>
  <c r="K27" i="2"/>
  <c r="I27" i="2"/>
  <c r="H27" i="2"/>
  <c r="J27" i="2" s="1"/>
  <c r="D27" i="2"/>
  <c r="C27" i="2"/>
  <c r="L26" i="2"/>
  <c r="K26" i="2"/>
  <c r="I26" i="2"/>
  <c r="H26" i="2"/>
  <c r="J26" i="2" s="1"/>
  <c r="D26" i="2"/>
  <c r="C26" i="2"/>
  <c r="L25" i="2"/>
  <c r="K25" i="2"/>
  <c r="I25" i="2"/>
  <c r="H25" i="2"/>
  <c r="J25" i="2" s="1"/>
  <c r="D25" i="2"/>
  <c r="C25" i="2"/>
  <c r="L24" i="2"/>
  <c r="K24" i="2"/>
  <c r="I24" i="2"/>
  <c r="H24" i="2"/>
  <c r="J24" i="2" s="1"/>
  <c r="D24" i="2"/>
  <c r="C24" i="2"/>
  <c r="L23" i="2"/>
  <c r="K23" i="2"/>
  <c r="I23" i="2"/>
  <c r="H23" i="2"/>
  <c r="J23" i="2" s="1"/>
  <c r="D23" i="2"/>
  <c r="C23" i="2"/>
  <c r="L22" i="2"/>
  <c r="K22" i="2"/>
  <c r="I22" i="2"/>
  <c r="H22" i="2"/>
  <c r="J22" i="2" s="1"/>
  <c r="D22" i="2"/>
  <c r="C22" i="2"/>
  <c r="L21" i="2"/>
  <c r="K21" i="2"/>
  <c r="I21" i="2"/>
  <c r="H21" i="2"/>
  <c r="J21" i="2" s="1"/>
  <c r="L20" i="2"/>
  <c r="K20" i="2"/>
  <c r="I20" i="2"/>
  <c r="H20" i="2"/>
  <c r="J20" i="2" s="1"/>
  <c r="C17" i="2"/>
  <c r="B17" i="2"/>
  <c r="H16" i="2"/>
  <c r="G16" i="2"/>
  <c r="I16" i="2" s="1"/>
  <c r="H15" i="2"/>
  <c r="G15" i="2"/>
  <c r="I15" i="2" s="1"/>
  <c r="H14" i="2"/>
  <c r="G14" i="2"/>
  <c r="I14" i="2" s="1"/>
  <c r="H13" i="2"/>
  <c r="G13" i="2"/>
  <c r="I13" i="2" s="1"/>
  <c r="C13" i="2"/>
  <c r="B13" i="2"/>
  <c r="H12" i="2"/>
  <c r="G12" i="2"/>
  <c r="I12" i="2" s="1"/>
  <c r="C12" i="2"/>
  <c r="B12" i="2"/>
  <c r="C11" i="2"/>
  <c r="B11" i="2"/>
  <c r="C10" i="2"/>
  <c r="B10" i="2"/>
  <c r="C9" i="2"/>
  <c r="B9" i="2"/>
  <c r="C8" i="2"/>
  <c r="B8" i="2"/>
  <c r="H7" i="2"/>
  <c r="G7" i="2"/>
  <c r="C7" i="2"/>
  <c r="B7" i="2"/>
  <c r="H6" i="2"/>
  <c r="G6" i="2"/>
  <c r="C6" i="2"/>
  <c r="B6" i="2"/>
  <c r="J5" i="2"/>
  <c r="H5" i="2"/>
  <c r="G5" i="2"/>
  <c r="C5" i="2"/>
  <c r="B5" i="2"/>
  <c r="G47" i="2" l="1"/>
  <c r="G43" i="2"/>
  <c r="G45" i="2"/>
  <c r="G44" i="2"/>
  <c r="B48" i="2"/>
  <c r="D38" i="2"/>
  <c r="I7" i="2"/>
  <c r="J7" i="2"/>
  <c r="G8" i="2"/>
  <c r="J6" i="2"/>
  <c r="I6" i="2"/>
  <c r="I5" i="2"/>
  <c r="H8" i="2"/>
  <c r="I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<sst xmlns="http://schemas.openxmlformats.org/spreadsheetml/2006/main" count="3086" uniqueCount="973">
  <si>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</si>
  <si>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</si>
  <si>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</si>
  <si>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</si>
  <si>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</si>
  <si>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</si>
  <si>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</si>
  <si>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</si>
  <si>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</si>
  <si>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</si>
  <si>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</si>
  <si>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</si>
  <si>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</si>
  <si>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</si>
  <si>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2024-04-11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</si>
  <si>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</si>
  <si>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</si>
  <si>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</si>
  <si>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</si>
  <si>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</si>
  <si>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</si>
  <si>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</si>
  <si>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</si>
  <si>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2021-08-17</t>
  </si>
  <si>
    <t>TRX0023</t>
  </si>
  <si>
    <t>2024-04-14</t>
  </si>
  <si>
    <t>CUST013</t>
  </si>
  <si>
    <t>Joseph Jackson</t>
  </si>
  <si>
    <t>Credit Card</t>
  </si>
  <si>
    <t>Premium</t>
  </si>
  <si>
    <t>2022-01-14</t>
  </si>
  <si>
    <t>TRX0139</t>
  </si>
  <si>
    <t>2024-04-17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</si>
  <si>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</si>
  <si>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</si>
  <si>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</si>
  <si>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</si>
  <si>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</si>
  <si>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</si>
  <si>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</si>
  <si>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</si>
  <si>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2023-12-02</t>
  </si>
  <si>
    <t>TRX0043</t>
  </si>
  <si>
    <t>2024-04-18</t>
  </si>
  <si>
    <t>CUST046</t>
  </si>
  <si>
    <t>Kathleen Bennett</t>
  </si>
  <si>
    <t>North</t>
  </si>
  <si>
    <t>2023-07-07</t>
  </si>
  <si>
    <t>TRX0212</t>
  </si>
  <si>
    <t>CUST003</t>
  </si>
  <si>
    <t>Michael Brown</t>
  </si>
  <si>
    <t>P008</t>
  </si>
  <si>
    <t>Bookshelf</t>
  </si>
  <si>
    <t>Furniture</t>
  </si>
  <si>
    <t>2024-01-04</t>
  </si>
  <si>
    <t>TRX0092</t>
  </si>
  <si>
    <t>2024-04-21</t>
  </si>
  <si>
    <t>CUST024</t>
  </si>
  <si>
    <t>Dorothy Nelson</t>
  </si>
  <si>
    <t>West</t>
  </si>
  <si>
    <t>2022-07-04</t>
  </si>
  <si>
    <t>TRX0193</t>
  </si>
  <si>
    <t>P003</t>
  </si>
  <si>
    <t>Headphones</t>
  </si>
  <si>
    <t>2021-08-10</t>
  </si>
  <si>
    <t>TRX0240</t>
  </si>
  <si>
    <t>CUST017</t>
  </si>
  <si>
    <t>Charles Allen</t>
  </si>
  <si>
    <t>Debit Card</t>
  </si>
  <si>
    <t>2023-03-22</t>
  </si>
  <si>
    <t>TRX0135</t>
  </si>
  <si>
    <t>2024-04-23</t>
  </si>
  <si>
    <t>CUST009</t>
  </si>
  <si>
    <t>Robert Thomas</t>
  </si>
  <si>
    <t>P001</t>
  </si>
  <si>
    <t>Laptop</t>
  </si>
  <si>
    <t>East</t>
  </si>
  <si>
    <t>2024-01-08</t>
  </si>
  <si>
    <t>TRX0185</t>
  </si>
  <si>
    <t>2024-04-26</t>
  </si>
  <si>
    <t>CUST026</t>
  </si>
  <si>
    <t>Karen Hill</t>
  </si>
  <si>
    <t>2023-10-08</t>
  </si>
  <si>
    <t>TRX0138</t>
  </si>
  <si>
    <t>CUST022</t>
  </si>
  <si>
    <t>Susan Green</t>
  </si>
  <si>
    <t>2023-06-26</t>
  </si>
  <si>
    <t>TRX0209</t>
  </si>
  <si>
    <t>2022-09-26</t>
  </si>
  <si>
    <t>TRX0246</t>
  </si>
  <si>
    <t>CUST041</t>
  </si>
  <si>
    <t>Peter Richardson</t>
  </si>
  <si>
    <t>2022-09-02</t>
  </si>
  <si>
    <t>TRX0067</t>
  </si>
  <si>
    <t>2024-04-27</t>
  </si>
  <si>
    <t>CUST043</t>
  </si>
  <si>
    <t>Dennis Gray</t>
  </si>
  <si>
    <t>2024-02-29</t>
  </si>
  <si>
    <t>TRX0191</t>
  </si>
  <si>
    <t>CUST038</t>
  </si>
  <si>
    <t>Michelle Rogers</t>
  </si>
  <si>
    <t>P002</t>
  </si>
  <si>
    <t>Smartphone</t>
  </si>
  <si>
    <t>2022-01-16</t>
  </si>
  <si>
    <t>TRX0230</t>
  </si>
  <si>
    <t>CUST027</t>
  </si>
  <si>
    <t>George Adams</t>
  </si>
  <si>
    <t>2022-12-25</t>
  </si>
  <si>
    <t>TRX0049</t>
  </si>
  <si>
    <t>2024-04-28</t>
  </si>
  <si>
    <t>CUST025</t>
  </si>
  <si>
    <t>Mark Carter</t>
  </si>
  <si>
    <t>2024-03-23</t>
  </si>
  <si>
    <t>TRX0134</t>
  </si>
  <si>
    <t>CUST010</t>
  </si>
  <si>
    <t>Maria Garcia</t>
  </si>
  <si>
    <t>2022-08-08</t>
  </si>
  <si>
    <t>TRX0122</t>
  </si>
  <si>
    <t>2024-02-05</t>
  </si>
  <si>
    <t>TRX0222</t>
  </si>
  <si>
    <t>CUST048</t>
  </si>
  <si>
    <t>Virginia Sanders</t>
  </si>
  <si>
    <t>2023-10-25</t>
  </si>
  <si>
    <t>TRX0231</t>
  </si>
  <si>
    <t>2024-04-30</t>
  </si>
  <si>
    <t>CUST018</t>
  </si>
  <si>
    <t>Barbara Young</t>
  </si>
  <si>
    <t>2023-08-29</t>
  </si>
  <si>
    <t>TRX0239</t>
  </si>
  <si>
    <t>2024-05-01</t>
  </si>
  <si>
    <t>CUST012</t>
  </si>
  <si>
    <t>Patricia Moore</t>
  </si>
  <si>
    <t>2021-08-01</t>
  </si>
  <si>
    <t>TRX0204</t>
  </si>
  <si>
    <t>2024-05-03</t>
  </si>
  <si>
    <t>CUST044</t>
  </si>
  <si>
    <t>Cynthia Price</t>
  </si>
  <si>
    <t>2021-09-29</t>
  </si>
  <si>
    <t>TRX0242</t>
  </si>
  <si>
    <t>2024-05-04</t>
  </si>
  <si>
    <t>P007</t>
  </si>
  <si>
    <t>Desk</t>
  </si>
  <si>
    <t>2022-06-04</t>
  </si>
  <si>
    <t>TRX0071</t>
  </si>
  <si>
    <t>2024-05-10</t>
  </si>
  <si>
    <t>CUST036</t>
  </si>
  <si>
    <t>Nancy Collins</t>
  </si>
  <si>
    <t>2021-11-25</t>
  </si>
  <si>
    <t>TRX0040</t>
  </si>
  <si>
    <t>2024-05-12</t>
  </si>
  <si>
    <t>2023-08-30</t>
  </si>
  <si>
    <t>TRX0235</t>
  </si>
  <si>
    <t>CUST014</t>
  </si>
  <si>
    <t>Linda Martin</t>
  </si>
  <si>
    <t>P004</t>
  </si>
  <si>
    <t>Coffee Maker</t>
  </si>
  <si>
    <t>2023-03-27</t>
  </si>
  <si>
    <t>TRX0004</t>
  </si>
  <si>
    <t>P010</t>
  </si>
  <si>
    <t>Keyboard</t>
  </si>
  <si>
    <t>2022-12-24</t>
  </si>
  <si>
    <t>TRX0063</t>
  </si>
  <si>
    <t>2024-05-13</t>
  </si>
  <si>
    <t>CUST030</t>
  </si>
  <si>
    <t>Helen Roberts</t>
  </si>
  <si>
    <t>2023-10-15</t>
  </si>
  <si>
    <t>TRX0241</t>
  </si>
  <si>
    <t>2024-05-15</t>
  </si>
  <si>
    <t>CUST029</t>
  </si>
  <si>
    <t>Edward Mitchell</t>
  </si>
  <si>
    <t>2022-11-02</t>
  </si>
  <si>
    <t>TRX0029</t>
  </si>
  <si>
    <t>P006</t>
  </si>
  <si>
    <t>Office Chair</t>
  </si>
  <si>
    <t>2021-08-04</t>
  </si>
  <si>
    <t>TRX0194</t>
  </si>
  <si>
    <t>2024-05-16</t>
  </si>
  <si>
    <t>CUST006</t>
  </si>
  <si>
    <t>Lisa Anderson</t>
  </si>
  <si>
    <t>2022-09-19</t>
  </si>
  <si>
    <t>TRX0130</t>
  </si>
  <si>
    <t>2024-05-18</t>
  </si>
  <si>
    <t>CUST002</t>
  </si>
  <si>
    <t>Emma Wilson</t>
  </si>
  <si>
    <t>2023-05-22</t>
  </si>
  <si>
    <t>TRX0041</t>
  </si>
  <si>
    <t>2024-05-20</t>
  </si>
  <si>
    <t>2022-01-17</t>
  </si>
  <si>
    <t>TRX0232</t>
  </si>
  <si>
    <t>2024-05-22</t>
  </si>
  <si>
    <t>2022-09-20</t>
  </si>
  <si>
    <t>TRX0021</t>
  </si>
  <si>
    <t>2024-05-23</t>
  </si>
  <si>
    <t>2023-04-30</t>
  </si>
  <si>
    <t>TRX0245</t>
  </si>
  <si>
    <t>2024-05-26</t>
  </si>
  <si>
    <t>CUST031</t>
  </si>
  <si>
    <t>Steven Turner</t>
  </si>
  <si>
    <t>2024-01-01</t>
  </si>
  <si>
    <t>TRX0015</t>
  </si>
  <si>
    <t>2024-05-28</t>
  </si>
  <si>
    <t>CUST008</t>
  </si>
  <si>
    <t>Jennifer Taylor</t>
  </si>
  <si>
    <t>2021-07-30</t>
  </si>
  <si>
    <t>TRX0202</t>
  </si>
  <si>
    <t>2024-05-29</t>
  </si>
  <si>
    <t>CUST035</t>
  </si>
  <si>
    <t>Harry Morgan</t>
  </si>
  <si>
    <t>2023-07-13</t>
  </si>
  <si>
    <t>TRX0042</t>
  </si>
  <si>
    <t>2024-05-31</t>
  </si>
  <si>
    <t>CUST019</t>
  </si>
  <si>
    <t>Daniel King</t>
  </si>
  <si>
    <t>2022-12-22</t>
  </si>
  <si>
    <t>TRX0128</t>
  </si>
  <si>
    <t>2024-06-01</t>
  </si>
  <si>
    <t>CUST040</t>
  </si>
  <si>
    <t>Sharon Butler</t>
  </si>
  <si>
    <t>2024-04-08</t>
  </si>
  <si>
    <t>TRX0117</t>
  </si>
  <si>
    <t>2023-08-03</t>
  </si>
  <si>
    <t>TRX0208</t>
  </si>
  <si>
    <t>2024-06-03</t>
  </si>
  <si>
    <t>CUST004</t>
  </si>
  <si>
    <t>Sarah Davis</t>
  </si>
  <si>
    <t>2022-01-26</t>
  </si>
  <si>
    <t>TRX0234</t>
  </si>
  <si>
    <t>2024-06-06</t>
  </si>
  <si>
    <t>2022-05-26</t>
  </si>
  <si>
    <t>TRX0121</t>
  </si>
  <si>
    <t>CUST028</t>
  </si>
  <si>
    <t>Betty Campbell</t>
  </si>
  <si>
    <t>2022-01-21</t>
  </si>
  <si>
    <t>TRX0220</t>
  </si>
  <si>
    <t>2024-06-07</t>
  </si>
  <si>
    <t>2022-03-25</t>
  </si>
  <si>
    <t>TRX0093</t>
  </si>
  <si>
    <t>2024-06-09</t>
  </si>
  <si>
    <t>CUST050</t>
  </si>
  <si>
    <t>Julie Foster</t>
  </si>
  <si>
    <t>2021-08-27</t>
  </si>
  <si>
    <t>TRX0088</t>
  </si>
  <si>
    <t>2024-06-13</t>
  </si>
  <si>
    <t>2022-01-18</t>
  </si>
  <si>
    <t>TRX0115</t>
  </si>
  <si>
    <t>2024-06-16</t>
  </si>
  <si>
    <t>2021-10-02</t>
  </si>
  <si>
    <t>TRX0154</t>
  </si>
  <si>
    <t>2023-02-17</t>
  </si>
  <si>
    <t>TRX0044</t>
  </si>
  <si>
    <t>2023-12-18</t>
  </si>
  <si>
    <t>TRX0061</t>
  </si>
  <si>
    <t>2024-06-17</t>
  </si>
  <si>
    <t>2023-09-21</t>
  </si>
  <si>
    <t>TRX0150</t>
  </si>
  <si>
    <t>2023-11-23</t>
  </si>
  <si>
    <t>TRX0025</t>
  </si>
  <si>
    <t>2024-06-25</t>
  </si>
  <si>
    <t>CUST049</t>
  </si>
  <si>
    <t>Raymond Ross</t>
  </si>
  <si>
    <t>2023-12-21</t>
  </si>
  <si>
    <t>TRX0078</t>
  </si>
  <si>
    <t>2024-06-26</t>
  </si>
  <si>
    <t>2024-03-01</t>
  </si>
  <si>
    <t>TRX0007</t>
  </si>
  <si>
    <t>2021-08-30</t>
  </si>
  <si>
    <t>TRX0184</t>
  </si>
  <si>
    <t>2024-06-28</t>
  </si>
  <si>
    <t>2023-06-25</t>
  </si>
  <si>
    <t>TRX0104</t>
  </si>
  <si>
    <t>2023-03-08</t>
  </si>
  <si>
    <t>TRX0127</t>
  </si>
  <si>
    <t>2024-06-29</t>
  </si>
  <si>
    <t>2022-10-17</t>
  </si>
  <si>
    <t>TRX0096</t>
  </si>
  <si>
    <t>2024-07-01</t>
  </si>
  <si>
    <t>2023-12-15</t>
  </si>
  <si>
    <t>TRX0192</t>
  </si>
  <si>
    <t>2024-07-02</t>
  </si>
  <si>
    <t>2022-08-29</t>
  </si>
  <si>
    <t>TRX0052</t>
  </si>
  <si>
    <t>2024-07-03</t>
  </si>
  <si>
    <t>2022-02-19</t>
  </si>
  <si>
    <t>TRX0070</t>
  </si>
  <si>
    <t>CUST007</t>
  </si>
  <si>
    <t>David Martinez</t>
  </si>
  <si>
    <t>2023-02-24</t>
  </si>
  <si>
    <t>TRX0086</t>
  </si>
  <si>
    <t>2024-07-08</t>
  </si>
  <si>
    <t>CUST020</t>
  </si>
  <si>
    <t>Margaret Wright</t>
  </si>
  <si>
    <t>2021-08-13</t>
  </si>
  <si>
    <t>TRX0113</t>
  </si>
  <si>
    <t>2024-04-07</t>
  </si>
  <si>
    <t>TRX0114</t>
  </si>
  <si>
    <t>2023-08-23</t>
  </si>
  <si>
    <t>TRX0136</t>
  </si>
  <si>
    <t>2024-07-09</t>
  </si>
  <si>
    <t>2021-11-09</t>
  </si>
  <si>
    <t>TRX0018</t>
  </si>
  <si>
    <t>2024-07-11</t>
  </si>
  <si>
    <t>2022-12-14</t>
  </si>
  <si>
    <t>TRX0141</t>
  </si>
  <si>
    <t>CUST033</t>
  </si>
  <si>
    <t>Frank Torres</t>
  </si>
  <si>
    <t>2022-11-26</t>
  </si>
  <si>
    <t>TRX0097</t>
  </si>
  <si>
    <t>2024-07-14</t>
  </si>
  <si>
    <t>2021-12-11</t>
  </si>
  <si>
    <t>TRX0169</t>
  </si>
  <si>
    <t>2024-07-17</t>
  </si>
  <si>
    <t>CUST047</t>
  </si>
  <si>
    <t>Gerald Murphy</t>
  </si>
  <si>
    <t>2023-07-23</t>
  </si>
  <si>
    <t>TRX0216</t>
  </si>
  <si>
    <t>2023-09-30</t>
  </si>
  <si>
    <t>TRX0131</t>
  </si>
  <si>
    <t>2024-07-18</t>
  </si>
  <si>
    <t>2023-11-24</t>
  </si>
  <si>
    <t>TRX0162</t>
  </si>
  <si>
    <t>2024-07-23</t>
  </si>
  <si>
    <t>2023-09-10</t>
  </si>
  <si>
    <t>TRX0244</t>
  </si>
  <si>
    <t>2024-07-24</t>
  </si>
  <si>
    <t>2022-12-04</t>
  </si>
  <si>
    <t>TRX0006</t>
  </si>
  <si>
    <t>2024-07-25</t>
  </si>
  <si>
    <t>2023-08-14</t>
  </si>
  <si>
    <t>TRX0215</t>
  </si>
  <si>
    <t>2023-07-20</t>
  </si>
  <si>
    <t>TRX0080</t>
  </si>
  <si>
    <t>2024-07-27</t>
  </si>
  <si>
    <t>2023-08-26</t>
  </si>
  <si>
    <t>TRX0228</t>
  </si>
  <si>
    <t>2023-02-25</t>
  </si>
  <si>
    <t>TRX0157</t>
  </si>
  <si>
    <t>2024-07-28</t>
  </si>
  <si>
    <t>2023-02-19</t>
  </si>
  <si>
    <t>TRX0002</t>
  </si>
  <si>
    <t>2022-06-20</t>
  </si>
  <si>
    <t>TRX0217</t>
  </si>
  <si>
    <t>2024-07-30</t>
  </si>
  <si>
    <t>2023-03-14</t>
  </si>
  <si>
    <t>TRX0249</t>
  </si>
  <si>
    <t>2024-07-31</t>
  </si>
  <si>
    <t>2021-11-23</t>
  </si>
  <si>
    <t>TRX0065</t>
  </si>
  <si>
    <t>2024-08-05</t>
  </si>
  <si>
    <t>CUST016</t>
  </si>
  <si>
    <t>Elizabeth Hall</t>
  </si>
  <si>
    <t>2021-12-12</t>
  </si>
  <si>
    <t>TRX0176</t>
  </si>
  <si>
    <t>2024-08-06</t>
  </si>
  <si>
    <t>2022-04-16</t>
  </si>
  <si>
    <t>TRX0101</t>
  </si>
  <si>
    <t>2024-08-09</t>
  </si>
  <si>
    <t>TRX0205</t>
  </si>
  <si>
    <t>2024-08-11</t>
  </si>
  <si>
    <t>2023-02-08</t>
  </si>
  <si>
    <t>TRX0020</t>
  </si>
  <si>
    <t>2024-08-13</t>
  </si>
  <si>
    <t>2022-09-16</t>
  </si>
  <si>
    <t>TRX0075</t>
  </si>
  <si>
    <t>2022-08-09</t>
  </si>
  <si>
    <t>TRX0098</t>
  </si>
  <si>
    <t>2021-09-26</t>
  </si>
  <si>
    <t>TRX0247</t>
  </si>
  <si>
    <t>2021-09-19</t>
  </si>
  <si>
    <t>TRX0027</t>
  </si>
  <si>
    <t>2024-08-15</t>
  </si>
  <si>
    <t>2023-03-06</t>
  </si>
  <si>
    <t>TRX0140</t>
  </si>
  <si>
    <t>2024-08-18</t>
  </si>
  <si>
    <t>2023-02-15</t>
  </si>
  <si>
    <t>TRX0132</t>
  </si>
  <si>
    <t>2024-08-19</t>
  </si>
  <si>
    <t>2021-11-26</t>
  </si>
  <si>
    <t>TRX0031</t>
  </si>
  <si>
    <t>2022-01-13</t>
  </si>
  <si>
    <t>TRX0236</t>
  </si>
  <si>
    <t>2024-08-22</t>
  </si>
  <si>
    <t>2024-01-19</t>
  </si>
  <si>
    <t>TRX0001</t>
  </si>
  <si>
    <t>2024-08-24</t>
  </si>
  <si>
    <t>CUST039</t>
  </si>
  <si>
    <t>Lawrence Reed</t>
  </si>
  <si>
    <t>2022-08-06</t>
  </si>
  <si>
    <t>TRX0037</t>
  </si>
  <si>
    <t>2022-01-11</t>
  </si>
  <si>
    <t>TRX0058</t>
  </si>
  <si>
    <t>2024-08-28</t>
  </si>
  <si>
    <t>2021-10-28</t>
  </si>
  <si>
    <t>TRX0170</t>
  </si>
  <si>
    <t>CUST034</t>
  </si>
  <si>
    <t>Carol Evans</t>
  </si>
  <si>
    <t>2023-10-13</t>
  </si>
  <si>
    <t>TRX0248</t>
  </si>
  <si>
    <t>2024-08-30</t>
  </si>
  <si>
    <t>CUST032</t>
  </si>
  <si>
    <t>Sandra Phillips</t>
  </si>
  <si>
    <t>TRX0099</t>
  </si>
  <si>
    <t>2024-09-02</t>
  </si>
  <si>
    <t>2022-05-04</t>
  </si>
  <si>
    <t>TRX0074</t>
  </si>
  <si>
    <t>2024-02-10</t>
  </si>
  <si>
    <t>TRX0225</t>
  </si>
  <si>
    <t>2024-09-03</t>
  </si>
  <si>
    <t>2022-11-05</t>
  </si>
  <si>
    <t>TRX0100</t>
  </si>
  <si>
    <t>2024-09-06</t>
  </si>
  <si>
    <t>2022-06-05</t>
  </si>
  <si>
    <t>TRX0142</t>
  </si>
  <si>
    <t>2024-09-09</t>
  </si>
  <si>
    <t>2022-07-06</t>
  </si>
  <si>
    <t>TRX0112</t>
  </si>
  <si>
    <t>2021-11-30</t>
  </si>
  <si>
    <t>TRX0161</t>
  </si>
  <si>
    <t>2024-09-10</t>
  </si>
  <si>
    <t>2022-05-12</t>
  </si>
  <si>
    <t>TRX0108</t>
  </si>
  <si>
    <t>2024-09-12</t>
  </si>
  <si>
    <t>2021-10-25</t>
  </si>
  <si>
    <t>TRX0211</t>
  </si>
  <si>
    <t>2024-09-13</t>
  </si>
  <si>
    <t>2022-03-21</t>
  </si>
  <si>
    <t>TRX0005</t>
  </si>
  <si>
    <t>2024-09-15</t>
  </si>
  <si>
    <t>CUST042</t>
  </si>
  <si>
    <t>Ruth Brooks</t>
  </si>
  <si>
    <t>TRX0195</t>
  </si>
  <si>
    <t>2024-09-16</t>
  </si>
  <si>
    <t>TRX0054</t>
  </si>
  <si>
    <t>TRX0077</t>
  </si>
  <si>
    <t>2024-09-19</t>
  </si>
  <si>
    <t>2021-09-07</t>
  </si>
  <si>
    <t>TRX0111</t>
  </si>
  <si>
    <t>CUST011</t>
  </si>
  <si>
    <t>William White</t>
  </si>
  <si>
    <t>2021-10-13</t>
  </si>
  <si>
    <t>TRX0123</t>
  </si>
  <si>
    <t>2022-02-26</t>
  </si>
  <si>
    <t>TRX0177</t>
  </si>
  <si>
    <t>2024-09-24</t>
  </si>
  <si>
    <t>2023-08-19</t>
  </si>
  <si>
    <t>TRX0119</t>
  </si>
  <si>
    <t>2024-09-25</t>
  </si>
  <si>
    <t>2022-11-21</t>
  </si>
  <si>
    <t>TRX0181</t>
  </si>
  <si>
    <t>2024-09-28</t>
  </si>
  <si>
    <t>2022-01-08</t>
  </si>
  <si>
    <t>TRX0129</t>
  </si>
  <si>
    <t>2024-09-29</t>
  </si>
  <si>
    <t>CUST015</t>
  </si>
  <si>
    <t>Richard Lee</t>
  </si>
  <si>
    <t>2023-01-27</t>
  </si>
  <si>
    <t>TRX0174</t>
  </si>
  <si>
    <t>2024-10-01</t>
  </si>
  <si>
    <t>2021-09-21</t>
  </si>
  <si>
    <t>TRX0146</t>
  </si>
  <si>
    <t>2024-10-07</t>
  </si>
  <si>
    <t>TRX0203</t>
  </si>
  <si>
    <t>2023-05-30</t>
  </si>
  <si>
    <t>TRX0055</t>
  </si>
  <si>
    <t>2024-10-08</t>
  </si>
  <si>
    <t>2023-12-14</t>
  </si>
  <si>
    <t>TRX0218</t>
  </si>
  <si>
    <t>2023-01-14</t>
  </si>
  <si>
    <t>TRX0085</t>
  </si>
  <si>
    <t>2024-10-11</t>
  </si>
  <si>
    <t>2023-09-05</t>
  </si>
  <si>
    <t>TRX0158</t>
  </si>
  <si>
    <t>2024-10-14</t>
  </si>
  <si>
    <t>2023-10-16</t>
  </si>
  <si>
    <t>TRX0173</t>
  </si>
  <si>
    <t>2024-10-16</t>
  </si>
  <si>
    <t>2023-03-23</t>
  </si>
  <si>
    <t>TRX0034</t>
  </si>
  <si>
    <t>2024-04-03</t>
  </si>
  <si>
    <t>TRX0189</t>
  </si>
  <si>
    <t>2024-03-18</t>
  </si>
  <si>
    <t>TRX0190</t>
  </si>
  <si>
    <t>2024-10-18</t>
  </si>
  <si>
    <t>2022-12-21</t>
  </si>
  <si>
    <t>TRX0079</t>
  </si>
  <si>
    <t>2024-10-21</t>
  </si>
  <si>
    <t>2021-12-21</t>
  </si>
  <si>
    <t>TRX0095</t>
  </si>
  <si>
    <t>2024-10-23</t>
  </si>
  <si>
    <t>2021-10-04</t>
  </si>
  <si>
    <t>TRX0009</t>
  </si>
  <si>
    <t>2023-03-07</t>
  </si>
  <si>
    <t>TRX0167</t>
  </si>
  <si>
    <t>2024-10-24</t>
  </si>
  <si>
    <t>2022-03-15</t>
  </si>
  <si>
    <t>TRX0153</t>
  </si>
  <si>
    <t>2024-10-27</t>
  </si>
  <si>
    <t>2022-02-23</t>
  </si>
  <si>
    <t>TRX0057</t>
  </si>
  <si>
    <t>2024-11-01</t>
  </si>
  <si>
    <t>2022-11-16</t>
  </si>
  <si>
    <t>TRX0017</t>
  </si>
  <si>
    <t>2024-11-04</t>
  </si>
  <si>
    <t>2021-11-02</t>
  </si>
  <si>
    <t>TRX0060</t>
  </si>
  <si>
    <t>2024-11-07</t>
  </si>
  <si>
    <t>2021-08-12</t>
  </si>
  <si>
    <t>TRX0109</t>
  </si>
  <si>
    <t>2024-11-08</t>
  </si>
  <si>
    <t>2022-10-14</t>
  </si>
  <si>
    <t>TRX0090</t>
  </si>
  <si>
    <t>2024-11-09</t>
  </si>
  <si>
    <t>2022-09-24</t>
  </si>
  <si>
    <t>TRX0035</t>
  </si>
  <si>
    <t>2024-11-11</t>
  </si>
  <si>
    <t>2022-07-27</t>
  </si>
  <si>
    <t>TRX0172</t>
  </si>
  <si>
    <t>2022-05-13</t>
  </si>
  <si>
    <t>TRX0076</t>
  </si>
  <si>
    <t>2022-04-08</t>
  </si>
  <si>
    <t>TRX0210</t>
  </si>
  <si>
    <t>2024-11-12</t>
  </si>
  <si>
    <t>2022-12-06</t>
  </si>
  <si>
    <t>TRX0149</t>
  </si>
  <si>
    <t>2023-11-30</t>
  </si>
  <si>
    <t>TRX0073</t>
  </si>
  <si>
    <t>2024-11-17</t>
  </si>
  <si>
    <t>2022-11-04</t>
  </si>
  <si>
    <t>TRX0033</t>
  </si>
  <si>
    <t>2022-07-28</t>
  </si>
  <si>
    <t>TRX0160</t>
  </si>
  <si>
    <t>2024-11-21</t>
  </si>
  <si>
    <t>2021-08-19</t>
  </si>
  <si>
    <t>TRX0145</t>
  </si>
  <si>
    <t>2024-11-23</t>
  </si>
  <si>
    <t>2021-12-30</t>
  </si>
  <si>
    <t>TRX0148</t>
  </si>
  <si>
    <t>2022-01-22</t>
  </si>
  <si>
    <t>TRX0012</t>
  </si>
  <si>
    <t>2024-11-26</t>
  </si>
  <si>
    <t>CUST045</t>
  </si>
  <si>
    <t>Douglas Watson</t>
  </si>
  <si>
    <t>2022-11-08</t>
  </si>
  <si>
    <t>TRX0206</t>
  </si>
  <si>
    <t>2024-11-27</t>
  </si>
  <si>
    <t>2023-06-24</t>
  </si>
  <si>
    <t>TRX0045</t>
  </si>
  <si>
    <t>2024-12-01</t>
  </si>
  <si>
    <t>TRX0094</t>
  </si>
  <si>
    <t>2021-10-16</t>
  </si>
  <si>
    <t>TRX0133</t>
  </si>
  <si>
    <t>2021-10-06</t>
  </si>
  <si>
    <t>TRX0201</t>
  </si>
  <si>
    <t>2023-01-18</t>
  </si>
  <si>
    <t>TRX0137</t>
  </si>
  <si>
    <t>2024-12-03</t>
  </si>
  <si>
    <t>2023-06-21</t>
  </si>
  <si>
    <t>TRX0066</t>
  </si>
  <si>
    <t>2024-12-04</t>
  </si>
  <si>
    <t>2022-05-22</t>
  </si>
  <si>
    <t>TRX0180</t>
  </si>
  <si>
    <t>2024-12-09</t>
  </si>
  <si>
    <t>2021-07-19</t>
  </si>
  <si>
    <t>TRX0082</t>
  </si>
  <si>
    <t>CUST005</t>
  </si>
  <si>
    <t>James Johnson</t>
  </si>
  <si>
    <t>2023-05-06</t>
  </si>
  <si>
    <t>TRX0036</t>
  </si>
  <si>
    <t>2022-12-26</t>
  </si>
  <si>
    <t>TRX0198</t>
  </si>
  <si>
    <t>2024-12-10</t>
  </si>
  <si>
    <t>TRX0032</t>
  </si>
  <si>
    <t>2024-12-12</t>
  </si>
  <si>
    <t>2021-07-29</t>
  </si>
  <si>
    <t>TRX0081</t>
  </si>
  <si>
    <t>2024-12-15</t>
  </si>
  <si>
    <t>2023-10-01</t>
  </si>
  <si>
    <t>TRX0224</t>
  </si>
  <si>
    <t>2022-06-12</t>
  </si>
  <si>
    <t>TRX0028</t>
  </si>
  <si>
    <t>2024-12-18</t>
  </si>
  <si>
    <t>2023-09-22</t>
  </si>
  <si>
    <t>TRX0183</t>
  </si>
  <si>
    <t>2024-12-19</t>
  </si>
  <si>
    <t>2022-07-18</t>
  </si>
  <si>
    <t>TRX0163</t>
  </si>
  <si>
    <t>2022-03-05</t>
  </si>
  <si>
    <t>TRX0046</t>
  </si>
  <si>
    <t>2024-12-20</t>
  </si>
  <si>
    <t>2023-11-09</t>
  </si>
  <si>
    <t>TRX0164</t>
  </si>
  <si>
    <t>2024-12-22</t>
  </si>
  <si>
    <t>2023-12-20</t>
  </si>
  <si>
    <t>TRX0008</t>
  </si>
  <si>
    <t>2021-11-22</t>
  </si>
  <si>
    <t>TRX0171</t>
  </si>
  <si>
    <t>2024-12-23</t>
  </si>
  <si>
    <t>2022-06-09</t>
  </si>
  <si>
    <t>TRX0143</t>
  </si>
  <si>
    <t>2024-12-28</t>
  </si>
  <si>
    <t>2022-07-29</t>
  </si>
  <si>
    <t>TRX0165</t>
  </si>
  <si>
    <t>TRX0156</t>
  </si>
  <si>
    <t>2024-12-29</t>
  </si>
  <si>
    <t>2022-01-30</t>
  </si>
  <si>
    <t>TRX0147</t>
  </si>
  <si>
    <t>2024-02-25</t>
  </si>
  <si>
    <t>TRX0207</t>
  </si>
  <si>
    <t>2024-12-31</t>
  </si>
  <si>
    <t>2023-05-04</t>
  </si>
  <si>
    <t>TRX0056</t>
  </si>
  <si>
    <t>2025-01-03</t>
  </si>
  <si>
    <t>2022-01-03</t>
  </si>
  <si>
    <t>TRX0026</t>
  </si>
  <si>
    <t>2025-01-04</t>
  </si>
  <si>
    <t>CUST037</t>
  </si>
  <si>
    <t>Arthur Edwards</t>
  </si>
  <si>
    <t>2022-07-10</t>
  </si>
  <si>
    <t>TRX0237</t>
  </si>
  <si>
    <t>2025-01-06</t>
  </si>
  <si>
    <t>TRX0091</t>
  </si>
  <si>
    <t>2021-08-14</t>
  </si>
  <si>
    <t>TRX0125</t>
  </si>
  <si>
    <t>2025-01-09</t>
  </si>
  <si>
    <t>2023-06-28</t>
  </si>
  <si>
    <t>TRX0223</t>
  </si>
  <si>
    <t>2025-01-10</t>
  </si>
  <si>
    <t>2022-03-13</t>
  </si>
  <si>
    <t>TRX0243</t>
  </si>
  <si>
    <t>2024-02-08</t>
  </si>
  <si>
    <t>TRX0084</t>
  </si>
  <si>
    <t>2025-01-11</t>
  </si>
  <si>
    <t>2021-12-06</t>
  </si>
  <si>
    <t>TRX0238</t>
  </si>
  <si>
    <t>2022-02-10</t>
  </si>
  <si>
    <t>TRX0102</t>
  </si>
  <si>
    <t>2025-01-13</t>
  </si>
  <si>
    <t>2024-01-31</t>
  </si>
  <si>
    <t>TRX0022</t>
  </si>
  <si>
    <t>2021-08-28</t>
  </si>
  <si>
    <t>TRX0087</t>
  </si>
  <si>
    <t>2025-01-14</t>
  </si>
  <si>
    <t>TRX0107</t>
  </si>
  <si>
    <t>2022-12-18</t>
  </si>
  <si>
    <t>TRX0051</t>
  </si>
  <si>
    <t>2023-10-05</t>
  </si>
  <si>
    <t>TRX0106</t>
  </si>
  <si>
    <t>2025-01-16</t>
  </si>
  <si>
    <t>2021-12-14</t>
  </si>
  <si>
    <t>TRX0059</t>
  </si>
  <si>
    <t>2021-08-23</t>
  </si>
  <si>
    <t>TRX0072</t>
  </si>
  <si>
    <t>2021-07-18</t>
  </si>
  <si>
    <t>TRX0110</t>
  </si>
  <si>
    <t>2025-01-19</t>
  </si>
  <si>
    <t>2022-03-22</t>
  </si>
  <si>
    <t>TRX0126</t>
  </si>
  <si>
    <t>2025-01-25</t>
  </si>
  <si>
    <t>TRX0159</t>
  </si>
  <si>
    <t>2025-01-26</t>
  </si>
  <si>
    <t>2023-10-18</t>
  </si>
  <si>
    <t>TRX0030</t>
  </si>
  <si>
    <t>2025-01-29</t>
  </si>
  <si>
    <t>2022-06-22</t>
  </si>
  <si>
    <t>TRX0178</t>
  </si>
  <si>
    <t>2023-01-26</t>
  </si>
  <si>
    <t>TRX0188</t>
  </si>
  <si>
    <t>2022-04-30</t>
  </si>
  <si>
    <t>TRX0010</t>
  </si>
  <si>
    <t>2025-01-31</t>
  </si>
  <si>
    <t>2022-05-11</t>
  </si>
  <si>
    <t>TRX0069</t>
  </si>
  <si>
    <t>2022-08-04</t>
  </si>
  <si>
    <t>TRX0166</t>
  </si>
  <si>
    <t>2024-01-16</t>
  </si>
  <si>
    <t>TRX0219</t>
  </si>
  <si>
    <t>2025-02-04</t>
  </si>
  <si>
    <t>2023-04-29</t>
  </si>
  <si>
    <t>TRX0024</t>
  </si>
  <si>
    <t>2025-02-07</t>
  </si>
  <si>
    <t>TRX0105</t>
  </si>
  <si>
    <t>2023-02-02</t>
  </si>
  <si>
    <t>TRX0011</t>
  </si>
  <si>
    <t>2025-02-08</t>
  </si>
  <si>
    <t>2023-09-08</t>
  </si>
  <si>
    <t>TRX0187</t>
  </si>
  <si>
    <t>2025-02-13</t>
  </si>
  <si>
    <t>TRX0089</t>
  </si>
  <si>
    <t>2025-02-16</t>
  </si>
  <si>
    <t>2022-06-23</t>
  </si>
  <si>
    <t>TRX0196</t>
  </si>
  <si>
    <t>2023-11-27</t>
  </si>
  <si>
    <t>TRX0118</t>
  </si>
  <si>
    <t>2025-02-17</t>
  </si>
  <si>
    <t>2022-06-16</t>
  </si>
  <si>
    <t>TRX0179</t>
  </si>
  <si>
    <t>2025-02-19</t>
  </si>
  <si>
    <t>TRX0168</t>
  </si>
  <si>
    <t>TRX0214</t>
  </si>
  <si>
    <t>2025-02-20</t>
  </si>
  <si>
    <t>2022-02-21</t>
  </si>
  <si>
    <t>TRX0221</t>
  </si>
  <si>
    <t>TRX0083</t>
  </si>
  <si>
    <t>2025-02-22</t>
  </si>
  <si>
    <t>2023-08-04</t>
  </si>
  <si>
    <t>TRX0151</t>
  </si>
  <si>
    <t>2023-01-08</t>
  </si>
  <si>
    <t>TRX0047</t>
  </si>
  <si>
    <t>2025-02-23</t>
  </si>
  <si>
    <t>TRX0200</t>
  </si>
  <si>
    <t>TRX0062</t>
  </si>
  <si>
    <t>2023-08-02</t>
  </si>
  <si>
    <t>TRX0182</t>
  </si>
  <si>
    <t>2025-02-24</t>
  </si>
  <si>
    <t>2022-01-12</t>
  </si>
  <si>
    <t>TRX0229</t>
  </si>
  <si>
    <t>2025-02-27</t>
  </si>
  <si>
    <t>2023-05-24</t>
  </si>
  <si>
    <t>TRX0048</t>
  </si>
  <si>
    <t>2022-01-15</t>
  </si>
  <si>
    <t>TRX0227</t>
  </si>
  <si>
    <t>2025-03-02</t>
  </si>
  <si>
    <t>TRX0226</t>
  </si>
  <si>
    <t>2025-03-04</t>
  </si>
  <si>
    <t>TRX0053</t>
  </si>
  <si>
    <t>2025-03-05</t>
  </si>
  <si>
    <t>2023-12-31</t>
  </si>
  <si>
    <t>TRX0233</t>
  </si>
  <si>
    <t>2025-03-07</t>
  </si>
  <si>
    <t>TRX0175</t>
  </si>
  <si>
    <t>2021-12-10</t>
  </si>
  <si>
    <t>TRX0186</t>
  </si>
  <si>
    <t>2025-03-08</t>
  </si>
  <si>
    <t>2022-03-12</t>
  </si>
  <si>
    <t>TRX0016</t>
  </si>
  <si>
    <t>TRX0199</t>
  </si>
  <si>
    <t>2023-12-03</t>
  </si>
  <si>
    <t>TRX0038</t>
  </si>
  <si>
    <t>2025-03-10</t>
  </si>
  <si>
    <t>2023-07-10</t>
  </si>
  <si>
    <t>TRX0014</t>
  </si>
  <si>
    <t>2025-03-18</t>
  </si>
  <si>
    <t>2023-09-24</t>
  </si>
  <si>
    <t>TRX0003</t>
  </si>
  <si>
    <t>2025-03-21</t>
  </si>
  <si>
    <t>2023-11-03</t>
  </si>
  <si>
    <t>TRX0124</t>
  </si>
  <si>
    <t>2022-11-11</t>
  </si>
  <si>
    <t>TRX0013</t>
  </si>
  <si>
    <t>2023-02-18</t>
  </si>
  <si>
    <t>TRX0019</t>
  </si>
  <si>
    <t>2025-03-23</t>
  </si>
  <si>
    <t>2023-11-04</t>
  </si>
  <si>
    <t>TRX0050</t>
  </si>
  <si>
    <t>2025-03-24</t>
  </si>
  <si>
    <t>CUST001</t>
  </si>
  <si>
    <t>John Smith</t>
  </si>
  <si>
    <t>TRX0152</t>
  </si>
  <si>
    <t>2025-03-27</t>
  </si>
  <si>
    <t>2023-12-28</t>
  </si>
  <si>
    <t>TRX0213</t>
  </si>
  <si>
    <t>2025-03-29</t>
  </si>
  <si>
    <t>2022-05-23</t>
  </si>
  <si>
    <t>TRX0197</t>
  </si>
  <si>
    <t>2025-03-30</t>
  </si>
  <si>
    <t>2023-09-02</t>
  </si>
  <si>
    <t>TRX0250</t>
  </si>
  <si>
    <t>TRX0068</t>
  </si>
  <si>
    <t>2025-04-01</t>
  </si>
  <si>
    <t>TRX0144</t>
  </si>
  <si>
    <t>2025-04-02</t>
  </si>
  <si>
    <t>TRX0039</t>
  </si>
  <si>
    <t>2025-04-08</t>
  </si>
  <si>
    <t>2021-11-11</t>
  </si>
  <si>
    <t>TRX0116</t>
  </si>
  <si>
    <t>2025-04-09</t>
  </si>
  <si>
    <t>2024-02-24</t>
  </si>
  <si>
    <t>TRX0120</t>
  </si>
  <si>
    <t>2025-04-11</t>
  </si>
  <si>
    <t>TRX0103</t>
  </si>
  <si>
    <t>2023-06-11</t>
  </si>
  <si>
    <t>TRX0064</t>
  </si>
  <si>
    <t>2022-11-13</t>
  </si>
  <si>
    <t>DATA INTELLIGENCE — ANALYSIS &amp; FORMULAS</t>
  </si>
  <si>
    <t>1. DATE &amp; TIME FUNCTIONS</t>
  </si>
  <si>
    <t>TODAY, NOW, DATEDIF, EOMONTH functions demonstrated below</t>
  </si>
  <si>
    <t>3. GROUPBY — Revenue &amp; Orders by Category (SUMIF/COUNTIF)</t>
  </si>
  <si>
    <t>Formula Description</t>
  </si>
  <si>
    <t>Formula Used</t>
  </si>
  <si>
    <t>Result</t>
  </si>
  <si>
    <t>Total Revenue</t>
  </si>
  <si>
    <t># Orders</t>
  </si>
  <si>
    <t>Avg Order Value</t>
  </si>
  <si>
    <t>% of Total Revenue</t>
  </si>
  <si>
    <t>Today's Date</t>
  </si>
  <si>
    <t>Current DateTime</t>
  </si>
  <si>
    <t>End of Current Month</t>
  </si>
  <si>
    <t>End of Next Month</t>
  </si>
  <si>
    <t>TOTAL</t>
  </si>
  <si>
    <t>Days Since Dataset Start (Apr 11 2024)</t>
  </si>
  <si>
    <t>Months Since Dataset Start</t>
  </si>
  <si>
    <t>4. GROUPBY — Revenue by Region (SUMIF)</t>
  </si>
  <si>
    <t>Years Since Dataset Start</t>
  </si>
  <si>
    <t>Revenue</t>
  </si>
  <si>
    <t>Transactions</t>
  </si>
  <si>
    <t>Avg Ticket</t>
  </si>
  <si>
    <t>Dataset Span (Days)</t>
  </si>
  <si>
    <t>Timestamp (NOW)</t>
  </si>
  <si>
    <t>2. FILTER FUNCTION — Premium Customers</t>
  </si>
  <si>
    <t>See Raw Data filtered by Segment=Premium</t>
  </si>
  <si>
    <t>6. HIGH-VALUE CUSTOMERS (SUMIF + RANK)</t>
  </si>
  <si>
    <t>Total Spent</t>
  </si>
  <si>
    <t>Avg Order</t>
  </si>
  <si>
    <t>Segment</t>
  </si>
  <si>
    <t>Customer Abbrev.</t>
  </si>
  <si>
    <t>5. MONTHLY REVENUE (SUMPRODUCT)</t>
  </si>
  <si>
    <t>Month</t>
  </si>
  <si>
    <t>Month-Year</t>
  </si>
  <si>
    <t>Orders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</si>
  <si>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</si>
  <si>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</si>
  <si>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</si>
  <si>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</si>
  <si>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</si>
  <si>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</si>
  <si>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</si>
  <si>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</si>
  <si>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</si>
  <si>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</si>
  <si>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</si>
  <si>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</si>
  <si>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8. PAYMENT METHOD ANALYSIS</t>
  </si>
  <si>
    <t>Apr-2025</t>
  </si>
  <si>
    <t>Payment Method</t>
  </si>
  <si>
    <t>Count</t>
  </si>
  <si>
    <t>% Share</t>
  </si>
  <si>
    <t>7. MOST FREQUENTLY PURCHASED PRODUCT</t>
  </si>
  <si>
    <t>Product</t>
  </si>
  <si>
    <t>Frequency Rank</t>
  </si>
  <si>
    <t>9. WHAT-IF ANALYSIS — Revenue Scenarios</t>
  </si>
  <si>
    <t>Base Total Revenue</t>
  </si>
  <si>
    <t>Growth Rate Assumption</t>
  </si>
  <si>
    <t>Scenario 1: +10% Growth</t>
  </si>
  <si>
    <t>Scenario 2: +20% Growth</t>
  </si>
  <si>
    <t>Scenario 3: -5% Decline</t>
  </si>
  <si>
    <t>Goal Seek Target (Rev)</t>
  </si>
  <si>
    <t>Req. Growth Rate for Target</t>
  </si>
  <si>
    <t>Most Frequent Product:</t>
  </si>
  <si>
    <t>10. COMPARE LISTS — Matching Customer Names</t>
  </si>
  <si>
    <t>List A (Top Spenders)</t>
  </si>
  <si>
    <t>List B (Premium Seg)</t>
  </si>
  <si>
    <t>Match Found?</t>
  </si>
  <si>
    <t>CHARTS &amp; VISUALIZATIONS</t>
  </si>
  <si>
    <t>Revenue by Category</t>
  </si>
  <si>
    <t>Payment Methods</t>
  </si>
  <si>
    <t>Method</t>
  </si>
  <si>
    <t>Revenue by Region</t>
  </si>
  <si>
    <t>Monthly Revenue Trend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</si>
  <si>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</si>
  <si>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</si>
  <si>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</si>
  <si>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</si>
  <si>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</si>
  <si>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</si>
  <si>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</si>
  <si>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</si>
  <si>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</si>
  <si>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</si>
  <si>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</si>
  <si>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</si>
  <si>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</si>
  <si>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📊  DATA INTELLIGENCE DASHBOARD  |  Customer Transaction Analysis  |  Apr 2024 – Apr 2025</t>
  </si>
  <si>
    <t>Last Refreshed: Use Analysis sheet for live timestamp</t>
  </si>
  <si>
    <t>💰 TOTAL REVENUE</t>
  </si>
  <si>
    <t>🧾 TOTAL ORDERS</t>
  </si>
  <si>
    <t>👥 UNIQUE CUSTOMERS</t>
  </si>
  <si>
    <t>📦 AVG ORDER VALUE</t>
  </si>
  <si>
    <t>⭐ PREMIUM REVENUE</t>
  </si>
  <si>
    <t>🔷 STANDARD REVENUE</t>
  </si>
  <si>
    <t>🔸 BASIC REVENUE</t>
  </si>
  <si>
    <t>📈 TOP PRODUCT</t>
  </si>
  <si>
    <t>🏆 TOP PRODUCTS BY REVENUE</t>
  </si>
  <si>
    <t>👑 TOP 5 CUSTOMERS BY SPEND</t>
  </si>
  <si>
    <t>🗺️ REGIONAL PERFORMANCE</t>
  </si>
  <si>
    <t>📊 CUSTOMER SEGMENT SPLIT</t>
  </si>
  <si>
    <t>Avg Unit $</t>
  </si>
  <si>
    <t>Customer</t>
  </si>
  <si>
    <t>Spent</t>
  </si>
  <si>
    <t>% Rev</t>
  </si>
  <si>
    <t>📋  KEY INSIGHTS &amp; STORYTELLING</t>
  </si>
  <si>
    <t>🔍 Top Revenue Category</t>
  </si>
  <si>
    <t>📍 Best Performing Region</t>
  </si>
  <si>
    <t>💳 Preferred Payment Method</t>
  </si>
  <si>
    <t>🧑 Highest-Value Customer Segment</t>
  </si>
  <si>
    <t>📉  LINEAR REGRESSION (Qty vs Revenue) — Use Data Analysis Toolpak in Excel on Raw Data tab</t>
  </si>
  <si>
    <t>Steps: Data → Data Analysis → Regression | Input Y: Total_Amount (Col N) | Input X: Quantity (Col H) | Output: New Sheet | Interpret R², Coefficients for forecasting</t>
  </si>
  <si>
    <t>EXECUTIVE SUMMARY REPORT — DATA INTELLIGENCE DASHBOARD</t>
  </si>
  <si>
    <t>Dataset: 250 Customer Transactions | Period: April 2024 – April 2025 | Source: Final Project Dataset</t>
  </si>
  <si>
    <t>KEY PERFORMANCE INDICATORS</t>
  </si>
  <si>
    <t>Total Transactions</t>
  </si>
  <si>
    <t>Unique Customers</t>
  </si>
  <si>
    <t>Average Order Value</t>
  </si>
  <si>
    <t>Top Category</t>
  </si>
  <si>
    <t>Most Frequent Product</t>
  </si>
  <si>
    <t>Best Region (by Revenue)</t>
  </si>
  <si>
    <t>Top Payment Method</t>
  </si>
  <si>
    <t>ANALYSIS STORYTELLING &amp; INSIGHTS</t>
  </si>
  <si>
    <t>Revenue Mix</t>
  </si>
  <si>
    <t>Electronics dominates revenue, driven by high-ticket items (Laptop @ $899.99, Smartphone @ $699.99). Furniture shows strong steady performance from Desks and Bookshelves. Appliances, while high in order volume (Blender, Coffee Maker), contribute lower total revenue due to lower unit prices.</t>
  </si>
  <si>
    <t>Customer Behavior</t>
  </si>
  <si>
    <t>Premium segment customers have the highest average order values. Repeat buyers like Mark Carter, Patricia Moore, and Karen Hill drive outsized revenue share. DATEDIF analysis shows long-tenured customers (Customer Since 2021) tend to place larger orders.</t>
  </si>
  <si>
    <t>Regional Insights</t>
  </si>
  <si>
    <t>All five regions show balanced participation. North and West lead in Electronics purchases. South shows strength in Furniture. Regional diversification reduces concentration risk for the business.</t>
  </si>
  <si>
    <t>Payment Preferences</t>
  </si>
  <si>
    <t>Credit Card is the most-used payment method, followed closely by Cash. PayPal is popular for higher-value Electronics purchases. Debit Card usage correlates with mid-range Furniture and Appliances purchases.</t>
  </si>
  <si>
    <t>Trend Analysis</t>
  </si>
  <si>
    <t>Monthly revenue shows a generally upward trend from Apr 2024. Peak months (Jun-Jul 2024, Dec 2024) align with seasonal demand. The Apr 2025 partial month data shows strong start suggesting continued growth.</t>
  </si>
  <si>
    <t>What-If Scenarios</t>
  </si>
  <si>
    <t>A 10% revenue growth target is achievable given current trajectory. Goal Seek analysis in the Analysis sheet identifies the exact growth rate needed to hit $100,000 revenue milestone. Scenario Manager allows modeling Optimistic (+20%), Base (+10%), and Pessimistic (-5%) cases.</t>
  </si>
  <si>
    <t>FORMULAS &amp; FUNCTIONS USED IN THIS WORKBOOK</t>
  </si>
  <si>
    <t>Formula/Function</t>
  </si>
  <si>
    <t>Sheet</t>
  </si>
  <si>
    <t>Purpose</t>
  </si>
  <si>
    <t>Example</t>
  </si>
  <si>
    <t>TODAY(), NOW()</t>
  </si>
  <si>
    <t>Analysis</t>
  </si>
  <si>
    <t>Return today's date and current datetime</t>
  </si>
  <si>
    <t>Formula: =TODAY(), =NOW()</t>
  </si>
  <si>
    <t>DATEDIF()</t>
  </si>
  <si>
    <t>Calculate days/months/years between dates</t>
  </si>
  <si>
    <t>Formula: =DATEDIF(start_date, end_date, "D")</t>
  </si>
  <si>
    <t>EOMONTH()</t>
  </si>
  <si>
    <t>Find last day of a month offset</t>
  </si>
  <si>
    <t>Formula: =EOMONTH(TODAY(), 0)</t>
  </si>
  <si>
    <t>SUMIF()</t>
  </si>
  <si>
    <t>Analysis/Dashboard</t>
  </si>
  <si>
    <t>Sum values matching a criterion</t>
  </si>
  <si>
    <t>Formula: =SUMIF(range, criteria, sum_range)</t>
  </si>
  <si>
    <t>COUNTIF()</t>
  </si>
  <si>
    <t>Count cells matching a criterion</t>
  </si>
  <si>
    <t>Formula: =COUNTIF(range, criteria)</t>
  </si>
  <si>
    <t>SUMPRODUCT()</t>
  </si>
  <si>
    <t>Sum product of arrays (used for monthly data)</t>
  </si>
  <si>
    <t>Formula: =SUMPRODUCT((MONTH(dates)=4)*(amounts))</t>
  </si>
  <si>
    <t>INDEX/MATCH()</t>
  </si>
  <si>
    <t>Flexible lookup beyond VLOOKUP</t>
  </si>
  <si>
    <t>Formula: =INDEX(col, MATCH(val, col, 0))</t>
  </si>
  <si>
    <t>RANK()</t>
  </si>
  <si>
    <t>Rank products by frequency</t>
  </si>
  <si>
    <t>Formula: =RANK(B38, B38:B47, 0)</t>
  </si>
  <si>
    <t>IFERROR()</t>
  </si>
  <si>
    <t>All sheets</t>
  </si>
  <si>
    <t>Handle errors gracefully</t>
  </si>
  <si>
    <t>Formula: =IFERROR(formula, 0)</t>
  </si>
  <si>
    <t>TEXT()</t>
  </si>
  <si>
    <t>Dashboard/Summary</t>
  </si>
  <si>
    <t>Format numbers as text strings</t>
  </si>
  <si>
    <t>Formula: =TEXT(value, "Format")</t>
  </si>
  <si>
    <t>LEFT(), MID(), FIND()</t>
  </si>
  <si>
    <t>Create abbreviations from customer names</t>
  </si>
  <si>
    <t>Formula: =LEFT(name,1) &amp; "." &amp; MID(name, FIND(" ",name)+1, 1) &amp; "."</t>
  </si>
  <si>
    <t>UPPER()</t>
  </si>
  <si>
    <t>Convert text to uppercase for abbreviations</t>
  </si>
  <si>
    <t>Formula: =UPPER(text)</t>
  </si>
  <si>
    <t>MATCH() for list compare</t>
  </si>
  <si>
    <t>Find matching names between two lists</t>
  </si>
  <si>
    <t>Formula: =IF(ISNUMBER(MATCH(a, b_range, 0)), "Match", "No Match")</t>
  </si>
  <si>
    <t>Color Scale Cond. Format</t>
  </si>
  <si>
    <t>Visual color gradient on revenue values</t>
  </si>
  <si>
    <t>Home &gt; Conditional Formatting &gt; Color Scales</t>
  </si>
  <si>
    <t>Data Bar Cond. Format</t>
  </si>
  <si>
    <t>Show in-cell bar charts for orders</t>
  </si>
  <si>
    <t>Home &gt; Conditional Formatting &gt; Data Bars</t>
  </si>
  <si>
    <t>paul 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</si>
</sst>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"/>
    <numFmt numFmtId="165" formatCode="0.0%"/>
    <numFmt numFmtId="166" formatCode="mm/dd/yy\ hh:mm\ AM/PM"/>
    <numFmt numFmtId="167" formatCode="mm/dd/yyyy\ hh:mm"/>
    <numFmt numFmtId="168" formatCode="mm/dd/yyyy"/>
    <numFmt numFmtId="169" formatCode="&quot;Total Premium Revenue: $&quot;#,##0.00"/>
    <numFmt numFmtId="170" formatCode="\$#,##0"/>
  </numFmts>
  <fonts count="2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F3864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1"/>
      <color rgb="FF1F3864"/>
      <name val="Arial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2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sz val="9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1F3864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595959"/>
        <bgColor rgb="FF2E4057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E07A5F"/>
      </patternFill>
    </fill>
    <fill>
      <patternFill patternType="solid">
        <fgColor rgb="FF2E4057"/>
        <bgColor rgb="FF1F3864"/>
      </patternFill>
    </fill>
    <fill>
      <patternFill patternType="solid">
        <fgColor rgb="FF048A81"/>
        <bgColor rgb="FF2E75B6"/>
      </patternFill>
    </fill>
    <fill>
      <patternFill patternType="solid">
        <fgColor rgb="FF54C6EB"/>
        <bgColor rgb="FF99CCFF"/>
      </patternFill>
    </fill>
    <fill>
      <patternFill patternType="solid">
        <fgColor rgb="FFE07A5F"/>
        <bgColor rgb="FFED7D31"/>
      </patternFill>
    </fill>
  </fills>
  <borders count="9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thin">
        <color rgb="FFBFBFBF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0" borderId="2" xfId="0" applyFont="1" applyBorder="1"/>
    <xf numFmtId="164" fontId="5" fillId="0" borderId="3" xfId="0" applyNumberFormat="1" applyFont="1" applyBorder="1"/>
    <xf numFmtId="164" fontId="2" fillId="0" borderId="4" xfId="0" applyNumberFormat="1" applyFont="1" applyBorder="1"/>
    <xf numFmtId="0" fontId="6" fillId="0" borderId="2" xfId="0" applyFont="1" applyBorder="1"/>
    <xf numFmtId="4" fontId="7" fillId="0" borderId="3" xfId="0" applyNumberFormat="1" applyFont="1" applyBorder="1"/>
    <xf numFmtId="0" fontId="7" fillId="0" borderId="3" xfId="0" applyFont="1" applyBorder="1"/>
    <xf numFmtId="165" fontId="7" fillId="0" borderId="4" xfId="0" applyNumberFormat="1" applyFont="1" applyBorder="1"/>
    <xf numFmtId="0" fontId="2" fillId="3" borderId="2" xfId="0" applyFont="1" applyFill="1" applyBorder="1"/>
    <xf numFmtId="166" fontId="5" fillId="3" borderId="3" xfId="0" applyNumberFormat="1" applyFont="1" applyFill="1" applyBorder="1"/>
    <xf numFmtId="167" fontId="2" fillId="3" borderId="4" xfId="0" applyNumberFormat="1" applyFont="1" applyFill="1" applyBorder="1"/>
    <xf numFmtId="0" fontId="6" fillId="3" borderId="2" xfId="0" applyFont="1" applyFill="1" applyBorder="1"/>
    <xf numFmtId="4" fontId="7" fillId="3" borderId="3" xfId="0" applyNumberFormat="1" applyFont="1" applyFill="1" applyBorder="1"/>
    <xf numFmtId="0" fontId="7" fillId="3" borderId="3" xfId="0" applyFont="1" applyFill="1" applyBorder="1"/>
    <xf numFmtId="165" fontId="7" fillId="3" borderId="4" xfId="0" applyNumberFormat="1" applyFont="1" applyFill="1" applyBorder="1"/>
    <xf numFmtId="0" fontId="5" fillId="0" borderId="3" xfId="0" applyFont="1" applyBorder="1"/>
    <xf numFmtId="168" fontId="2" fillId="0" borderId="4" xfId="0" applyNumberFormat="1" applyFont="1" applyBorder="1"/>
    <xf numFmtId="0" fontId="5" fillId="3" borderId="3" xfId="0" applyFont="1" applyFill="1" applyBorder="1"/>
    <xf numFmtId="168" fontId="2" fillId="3" borderId="4" xfId="0" applyNumberFormat="1" applyFont="1" applyFill="1" applyBorder="1"/>
    <xf numFmtId="0" fontId="4" fillId="2" borderId="5" xfId="0" applyFont="1" applyFill="1" applyBorder="1"/>
    <xf numFmtId="4" fontId="4" fillId="2" borderId="6" xfId="0" applyNumberFormat="1" applyFont="1" applyFill="1" applyBorder="1"/>
    <xf numFmtId="0" fontId="4" fillId="2" borderId="6" xfId="0" applyFont="1" applyFill="1" applyBorder="1"/>
    <xf numFmtId="0" fontId="0" fillId="0" borderId="7" xfId="0" applyBorder="1"/>
    <xf numFmtId="0" fontId="2" fillId="0" borderId="4" xfId="0" applyFont="1" applyBorder="1"/>
    <xf numFmtId="0" fontId="2" fillId="3" borderId="4" xfId="0" applyFont="1" applyFill="1" applyBorder="1"/>
    <xf numFmtId="4" fontId="2" fillId="3" borderId="3" xfId="0" applyNumberFormat="1" applyFont="1" applyFill="1" applyBorder="1"/>
    <xf numFmtId="0" fontId="2" fillId="3" borderId="3" xfId="0" applyFont="1" applyFill="1" applyBorder="1"/>
    <xf numFmtId="4" fontId="2" fillId="3" borderId="4" xfId="0" applyNumberFormat="1" applyFont="1" applyFill="1" applyBorder="1"/>
    <xf numFmtId="0" fontId="2" fillId="0" borderId="5" xfId="0" applyFont="1" applyBorder="1"/>
    <xf numFmtId="0" fontId="5" fillId="0" borderId="6" xfId="0" applyFont="1" applyBorder="1"/>
    <xf numFmtId="0" fontId="2" fillId="0" borderId="7" xfId="0" applyFont="1" applyBorder="1"/>
    <xf numFmtId="4" fontId="2" fillId="0" borderId="3" xfId="0" applyNumberFormat="1" applyFont="1" applyBorder="1"/>
    <xf numFmtId="0" fontId="2" fillId="0" borderId="3" xfId="0" applyFont="1" applyBorder="1"/>
    <xf numFmtId="4" fontId="2" fillId="0" borderId="4" xfId="0" applyNumberFormat="1" applyFont="1" applyBorder="1"/>
    <xf numFmtId="0" fontId="6" fillId="3" borderId="5" xfId="0" applyFont="1" applyFill="1" applyBorder="1"/>
    <xf numFmtId="4" fontId="2" fillId="3" borderId="6" xfId="0" applyNumberFormat="1" applyFont="1" applyFill="1" applyBorder="1"/>
    <xf numFmtId="0" fontId="2" fillId="3" borderId="6" xfId="0" applyFont="1" applyFill="1" applyBorder="1"/>
    <xf numFmtId="4" fontId="2" fillId="3" borderId="7" xfId="0" applyNumberFormat="1" applyFont="1" applyFill="1" applyBorder="1"/>
    <xf numFmtId="0" fontId="5" fillId="0" borderId="5" xfId="0" applyFont="1" applyBorder="1"/>
    <xf numFmtId="169" fontId="5" fillId="0" borderId="6" xfId="0" applyNumberFormat="1" applyFont="1" applyBorder="1"/>
    <xf numFmtId="0" fontId="6" fillId="3" borderId="3" xfId="0" applyFont="1" applyFill="1" applyBorder="1"/>
    <xf numFmtId="0" fontId="7" fillId="3" borderId="4" xfId="0" applyFont="1" applyFill="1" applyBorder="1"/>
    <xf numFmtId="0" fontId="6" fillId="0" borderId="3" xfId="0" applyFont="1" applyBorder="1"/>
    <xf numFmtId="0" fontId="7" fillId="0" borderId="4" xfId="0" applyFont="1" applyBorder="1"/>
    <xf numFmtId="0" fontId="6" fillId="0" borderId="6" xfId="0" applyFont="1" applyBorder="1"/>
    <xf numFmtId="4" fontId="7" fillId="0" borderId="6" xfId="0" applyNumberFormat="1" applyFont="1" applyBorder="1"/>
    <xf numFmtId="0" fontId="7" fillId="0" borderId="6" xfId="0" applyFont="1" applyBorder="1"/>
    <xf numFmtId="0" fontId="7" fillId="0" borderId="7" xfId="0" applyFont="1" applyBorder="1"/>
    <xf numFmtId="0" fontId="2" fillId="3" borderId="5" xfId="0" applyFont="1" applyFill="1" applyBorder="1"/>
    <xf numFmtId="0" fontId="6" fillId="3" borderId="6" xfId="0" applyFont="1" applyFill="1" applyBorder="1"/>
    <xf numFmtId="4" fontId="7" fillId="3" borderId="6" xfId="0" applyNumberFormat="1" applyFont="1" applyFill="1" applyBorder="1"/>
    <xf numFmtId="0" fontId="7" fillId="3" borderId="7" xfId="0" applyFont="1" applyFill="1" applyBorder="1"/>
    <xf numFmtId="0" fontId="7" fillId="3" borderId="6" xfId="0" applyFont="1" applyFill="1" applyBorder="1"/>
    <xf numFmtId="165" fontId="7" fillId="3" borderId="7" xfId="0" applyNumberFormat="1" applyFont="1" applyFill="1" applyBorder="1"/>
    <xf numFmtId="4" fontId="7" fillId="0" borderId="4" xfId="0" applyNumberFormat="1" applyFont="1" applyBorder="1"/>
    <xf numFmtId="9" fontId="8" fillId="0" borderId="4" xfId="0" applyNumberFormat="1" applyFont="1" applyBorder="1"/>
    <xf numFmtId="4" fontId="8" fillId="0" borderId="4" xfId="0" applyNumberFormat="1" applyFont="1" applyBorder="1"/>
    <xf numFmtId="0" fontId="6" fillId="0" borderId="5" xfId="0" applyFont="1" applyBorder="1"/>
    <xf numFmtId="165" fontId="7" fillId="0" borderId="7" xfId="0" applyNumberFormat="1" applyFont="1" applyBorder="1"/>
    <xf numFmtId="0" fontId="9" fillId="0" borderId="6" xfId="0" applyFont="1" applyBorder="1"/>
    <xf numFmtId="0" fontId="0" fillId="0" borderId="6" xfId="0" applyBorder="1"/>
    <xf numFmtId="0" fontId="2" fillId="0" borderId="6" xfId="0" applyFont="1" applyBorder="1"/>
    <xf numFmtId="4" fontId="0" fillId="0" borderId="3" xfId="0" applyNumberFormat="1" applyBorder="1"/>
    <xf numFmtId="0" fontId="0" fillId="0" borderId="4" xfId="0" applyBorder="1"/>
    <xf numFmtId="0" fontId="0" fillId="0" borderId="3" xfId="0" applyBorder="1"/>
    <xf numFmtId="4" fontId="0" fillId="0" borderId="4" xfId="0" applyNumberFormat="1" applyBorder="1"/>
    <xf numFmtId="4" fontId="0" fillId="0" borderId="6" xfId="0" applyNumberFormat="1" applyBorder="1"/>
    <xf numFmtId="4" fontId="0" fillId="0" borderId="7" xfId="0" applyNumberFormat="1" applyBorder="1"/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0" borderId="2" xfId="0" applyFont="1" applyBorder="1"/>
    <xf numFmtId="170" fontId="15" fillId="0" borderId="3" xfId="0" applyNumberFormat="1" applyFont="1" applyBorder="1"/>
    <xf numFmtId="0" fontId="15" fillId="0" borderId="3" xfId="0" applyFont="1" applyBorder="1"/>
    <xf numFmtId="170" fontId="15" fillId="0" borderId="4" xfId="0" applyNumberFormat="1" applyFont="1" applyBorder="1"/>
    <xf numFmtId="0" fontId="15" fillId="0" borderId="4" xfId="0" applyFont="1" applyBorder="1"/>
    <xf numFmtId="165" fontId="15" fillId="0" borderId="4" xfId="0" applyNumberFormat="1" applyFont="1" applyBorder="1"/>
    <xf numFmtId="0" fontId="14" fillId="3" borderId="2" xfId="0" applyFont="1" applyFill="1" applyBorder="1"/>
    <xf numFmtId="170" fontId="15" fillId="3" borderId="3" xfId="0" applyNumberFormat="1" applyFont="1" applyFill="1" applyBorder="1"/>
    <xf numFmtId="0" fontId="15" fillId="3" borderId="3" xfId="0" applyFont="1" applyFill="1" applyBorder="1"/>
    <xf numFmtId="170" fontId="15" fillId="3" borderId="4" xfId="0" applyNumberFormat="1" applyFont="1" applyFill="1" applyBorder="1"/>
    <xf numFmtId="0" fontId="15" fillId="3" borderId="4" xfId="0" applyFont="1" applyFill="1" applyBorder="1"/>
    <xf numFmtId="165" fontId="15" fillId="3" borderId="4" xfId="0" applyNumberFormat="1" applyFont="1" applyFill="1" applyBorder="1"/>
    <xf numFmtId="0" fontId="14" fillId="0" borderId="5" xfId="0" applyFont="1" applyBorder="1"/>
    <xf numFmtId="170" fontId="15" fillId="0" borderId="6" xfId="0" applyNumberFormat="1" applyFont="1" applyBorder="1"/>
    <xf numFmtId="0" fontId="15" fillId="0" borderId="6" xfId="0" applyFont="1" applyBorder="1"/>
    <xf numFmtId="165" fontId="15" fillId="0" borderId="7" xfId="0" applyNumberFormat="1" applyFont="1" applyBorder="1"/>
    <xf numFmtId="170" fontId="15" fillId="0" borderId="7" xfId="0" applyNumberFormat="1" applyFont="1" applyBorder="1"/>
    <xf numFmtId="0" fontId="15" fillId="0" borderId="7" xfId="0" applyFont="1" applyBorder="1"/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9" fillId="3" borderId="2" xfId="0" applyFont="1" applyFill="1" applyBorder="1"/>
    <xf numFmtId="0" fontId="19" fillId="0" borderId="2" xfId="0" applyFont="1" applyBorder="1"/>
    <xf numFmtId="0" fontId="19" fillId="3" borderId="5" xfId="0" applyFont="1" applyFill="1" applyBorder="1"/>
    <xf numFmtId="0" fontId="15" fillId="3" borderId="6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8" fillId="3" borderId="4" xfId="0" applyFont="1" applyFill="1" applyBorder="1"/>
    <xf numFmtId="0" fontId="18" fillId="0" borderId="4" xfId="0" applyFont="1" applyBorder="1"/>
    <xf numFmtId="0" fontId="18" fillId="3" borderId="7" xfId="0" applyFont="1" applyFill="1" applyBorder="1"/>
    <xf numFmtId="0" fontId="2" fillId="3" borderId="4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13" fillId="5" borderId="4" xfId="0" applyFont="1" applyFill="1" applyBorder="1" applyAlignment="1">
      <alignment horizontal="center" vertical="center"/>
    </xf>
    <xf numFmtId="0" fontId="5" fillId="3" borderId="7" xfId="0" applyFont="1" applyFill="1" applyBorder="1"/>
    <xf numFmtId="0" fontId="5" fillId="0" borderId="4" xfId="0" applyFont="1" applyBorder="1"/>
    <xf numFmtId="0" fontId="5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BFBFBF"/>
      <rgbColor rgb="FF878787"/>
      <rgbColor rgb="FF9999FF"/>
      <rgbColor rgb="FFC0504D"/>
      <rgbColor rgb="FFF9F9F9"/>
      <rgbColor rgb="FFF2F2F2"/>
      <rgbColor rgb="FF660066"/>
      <rgbColor rgb="FFE07A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54C6EB"/>
      <rgbColor rgb="FF9BBB59"/>
      <rgbColor rgb="FFFFCC00"/>
      <rgbColor rgb="FFFF9900"/>
      <rgbColor rgb="FFED7D31"/>
      <rgbColor rgb="FF8064A2"/>
      <rgbColor rgb="FF70AD47"/>
      <rgbColor rgb="FF1F3864"/>
      <rgbColor rgb="FF4A7EBB"/>
      <rgbColor rgb="FF003300"/>
      <rgbColor rgb="FF333300"/>
      <rgbColor rgb="FF993300"/>
      <rgbColor rgb="FF993366"/>
      <rgbColor rgb="FF59595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Visualizations!$B$4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Visualizations!$A$5:$A$7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Visualizations!$B$5:$B$7</c:f>
              <c:numCache>
                <c:formatCode>#,##0.00</c:formatCode>
                <c:ptCount val="3"/>
                <c:pt idx="0">
                  <c:v>171756.05000000013</c:v>
                </c:pt>
                <c:pt idx="1">
                  <c:v>49097.680000000015</c:v>
                </c:pt>
                <c:pt idx="2">
                  <c:v>8338.7399999999961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4-49D0-B96E-B514534F9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826551"/>
        <c:axId val="52081311"/>
      </c:barChart>
      <c:catAx>
        <c:axId val="578265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081311"/>
        <c:crosses val="autoZero"/>
        <c:auto val="1"/>
        <c:lblAlgn val="ctr"/>
        <c:lblOffset val="100"/>
        <c:noMultiLvlLbl val="0"/>
      </c:catAx>
      <c:valAx>
        <c:axId val="52081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26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Visualizations!$B$18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Visualizations!$A$19:$A$31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Visualizations!$B$19:$B$31</c:f>
              <c:numCache>
                <c:formatCode>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B8-4C3C-99F8-3637609E8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3345227"/>
        <c:axId val="81394093"/>
      </c:lineChart>
      <c:catAx>
        <c:axId val="533452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394093"/>
        <c:crosses val="autoZero"/>
        <c:auto val="1"/>
        <c:lblAlgn val="ctr"/>
        <c:lblOffset val="100"/>
        <c:noMultiLvlLbl val="0"/>
      </c:catAx>
      <c:valAx>
        <c:axId val="81394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345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Payment Method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Visualizations!$F$4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639-49E9-8196-B7AB34EA43C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639-49E9-8196-B7AB34EA43C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639-49E9-8196-B7AB34EA43C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C639-49E9-8196-B7AB34EA43C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39-49E9-8196-B7AB34EA43C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39-49E9-8196-B7AB34EA43C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39-49E9-8196-B7AB34EA43C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39-49E9-8196-B7AB34EA43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Visualizations!$E$5:$E$8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Visualizations!$F$5:$F$8</c:f>
              <c:numCache>
                <c:formatCode>General</c:formatCode>
                <c:ptCount val="4"/>
                <c:pt idx="0">
                  <c:v>76</c:v>
                </c:pt>
                <c:pt idx="1">
                  <c:v>68</c:v>
                </c:pt>
                <c:pt idx="2">
                  <c:v>54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39-49E9-8196-B7AB34EA4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Visualizations!$B$10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Visualizations!$A$11:$A$15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Visualizations!$B$11:$B$15</c:f>
              <c:numCache>
                <c:formatCode>#,##0.00</c:formatCode>
                <c:ptCount val="5"/>
                <c:pt idx="0">
                  <c:v>50808.310000000012</c:v>
                </c:pt>
                <c:pt idx="1">
                  <c:v>36398.750000000007</c:v>
                </c:pt>
                <c:pt idx="2">
                  <c:v>59288.389999999992</c:v>
                </c:pt>
                <c:pt idx="3">
                  <c:v>41408.680000000015</c:v>
                </c:pt>
                <c:pt idx="4">
                  <c:v>41288.340000000018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7-41F5-89FE-55449933E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10747"/>
        <c:axId val="7021523"/>
      </c:barChart>
      <c:catAx>
        <c:axId val="7001074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21523"/>
        <c:crosses val="autoZero"/>
        <c:auto val="1"/>
        <c:lblAlgn val="ctr"/>
        <c:lblOffset val="100"/>
        <c:noMultiLvlLbl val="0"/>
      </c:catAx>
      <c:valAx>
        <c:axId val="702152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010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16</xdr:col>
      <xdr:colOff>146520</xdr:colOff>
      <xdr:row>20</xdr:row>
      <xdr:rowOff>169560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18</xdr:col>
      <xdr:colOff>363600</xdr:colOff>
      <xdr:row>37</xdr:row>
      <xdr:rowOff>148680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6</xdr:col>
      <xdr:colOff>34200</xdr:colOff>
      <xdr:row>50</xdr:row>
      <xdr:rowOff>169560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16</xdr:col>
      <xdr:colOff>146520</xdr:colOff>
      <xdr:row>50</xdr:row>
      <xdr:rowOff>169560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251"/>
  <sheetViews>
    <sheetView zoomScaleNormal="100" workbookViewId="0">
      <pane ySplit="1" topLeftCell="A182" activePane="bottomLeft" state="frozen"/>
      <selection pane="bottomLeft" activeCell="P9" sqref="P9"/>
    </sheetView>
  </sheetViews>
  <sheetFormatPr defaultColWidth="8.6640625" defaultRowHeight="14.4" x14ac:dyDescent="0.3"/>
  <cols>
    <col min="1" max="2" width="12" customWidth="1"/>
    <col min="3" max="3" width="16.6640625" customWidth="1"/>
    <col min="4" max="4" width="18" customWidth="1"/>
    <col min="5" max="5" width="10" customWidth="1"/>
    <col min="6" max="6" width="14" customWidth="1"/>
    <col min="7" max="7" width="13" customWidth="1"/>
    <col min="8" max="8" width="10" customWidth="1"/>
    <col min="9" max="9" width="11" customWidth="1"/>
    <col min="10" max="10" width="13" customWidth="1"/>
    <col min="11" max="11" width="10" customWidth="1"/>
    <col min="12" max="12" width="17" customWidth="1"/>
    <col min="13" max="13" width="14" customWidth="1"/>
    <col min="14" max="14" width="13" customWidth="1"/>
  </cols>
  <sheetData>
    <row r="1" spans="1:14" ht="19.5" customHeight="1" x14ac:dyDescent="0.3">
      <c r="A1" s="2" t="s">
        <v>972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customHeight="1" x14ac:dyDescent="0.3">
      <c r="A2" s="3"/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3</v>
      </c>
      <c r="I2" s="4">
        <v>249.99</v>
      </c>
      <c r="J2" s="3" t="s">
        <v>20</v>
      </c>
      <c r="K2" s="3" t="s">
        <v>21</v>
      </c>
      <c r="L2" s="3" t="s">
        <v>22</v>
      </c>
      <c r="M2" s="3" t="s">
        <v>23</v>
      </c>
      <c r="N2" s="4">
        <v>749.97</v>
      </c>
    </row>
    <row r="3" spans="1:14" ht="15" customHeight="1" x14ac:dyDescent="0.3">
      <c r="A3" s="5" t="s">
        <v>24</v>
      </c>
      <c r="B3" s="5" t="s">
        <v>25</v>
      </c>
      <c r="C3" s="5" t="s">
        <v>26</v>
      </c>
      <c r="D3" s="5" t="s">
        <v>27</v>
      </c>
      <c r="E3" s="5" t="s">
        <v>17</v>
      </c>
      <c r="F3" s="5" t="s">
        <v>18</v>
      </c>
      <c r="G3" s="5" t="s">
        <v>19</v>
      </c>
      <c r="H3" s="5">
        <v>3</v>
      </c>
      <c r="I3" s="6">
        <v>249.99</v>
      </c>
      <c r="J3" s="5" t="s">
        <v>28</v>
      </c>
      <c r="K3" s="5" t="s">
        <v>21</v>
      </c>
      <c r="L3" s="5" t="s">
        <v>29</v>
      </c>
      <c r="M3" s="5" t="s">
        <v>30</v>
      </c>
      <c r="N3" s="6">
        <v>749.97</v>
      </c>
    </row>
    <row r="4" spans="1:14" ht="15" customHeight="1" x14ac:dyDescent="0.3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>
        <v>3</v>
      </c>
      <c r="I4" s="4">
        <v>59.99</v>
      </c>
      <c r="J4" s="3" t="s">
        <v>38</v>
      </c>
      <c r="K4" s="3" t="s">
        <v>39</v>
      </c>
      <c r="L4" s="3" t="s">
        <v>40</v>
      </c>
      <c r="M4" s="3" t="s">
        <v>41</v>
      </c>
      <c r="N4" s="4">
        <v>179.97</v>
      </c>
    </row>
    <row r="5" spans="1:14" ht="15" customHeight="1" x14ac:dyDescent="0.3">
      <c r="A5" s="5" t="s">
        <v>42</v>
      </c>
      <c r="B5" s="5" t="s">
        <v>43</v>
      </c>
      <c r="C5" s="5" t="s">
        <v>44</v>
      </c>
      <c r="D5" s="5" t="s">
        <v>45</v>
      </c>
      <c r="E5" s="5" t="s">
        <v>35</v>
      </c>
      <c r="F5" s="5" t="s">
        <v>36</v>
      </c>
      <c r="G5" s="5" t="s">
        <v>37</v>
      </c>
      <c r="H5" s="5">
        <v>3</v>
      </c>
      <c r="I5" s="6">
        <v>59.99</v>
      </c>
      <c r="J5" s="5" t="s">
        <v>20</v>
      </c>
      <c r="K5" s="5" t="s">
        <v>46</v>
      </c>
      <c r="L5" s="5" t="s">
        <v>29</v>
      </c>
      <c r="M5" s="5" t="s">
        <v>47</v>
      </c>
      <c r="N5" s="6">
        <v>179.97</v>
      </c>
    </row>
    <row r="6" spans="1:14" ht="15" customHeight="1" x14ac:dyDescent="0.3">
      <c r="A6" s="3" t="s">
        <v>48</v>
      </c>
      <c r="B6" s="3" t="s">
        <v>43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>
        <v>5</v>
      </c>
      <c r="I6" s="4">
        <v>149.99</v>
      </c>
      <c r="J6" s="3" t="s">
        <v>28</v>
      </c>
      <c r="K6" s="3" t="s">
        <v>46</v>
      </c>
      <c r="L6" s="3" t="s">
        <v>29</v>
      </c>
      <c r="M6" s="3" t="s">
        <v>54</v>
      </c>
      <c r="N6" s="4">
        <v>749.95</v>
      </c>
    </row>
    <row r="7" spans="1:14" ht="15" customHeight="1" x14ac:dyDescent="0.3">
      <c r="A7" s="5" t="s">
        <v>55</v>
      </c>
      <c r="B7" s="5" t="s">
        <v>56</v>
      </c>
      <c r="C7" s="5" t="s">
        <v>57</v>
      </c>
      <c r="D7" s="5" t="s">
        <v>58</v>
      </c>
      <c r="E7" s="5" t="s">
        <v>35</v>
      </c>
      <c r="F7" s="5" t="s">
        <v>36</v>
      </c>
      <c r="G7" s="5" t="s">
        <v>37</v>
      </c>
      <c r="H7" s="5">
        <v>2</v>
      </c>
      <c r="I7" s="6">
        <v>59.99</v>
      </c>
      <c r="J7" s="5" t="s">
        <v>20</v>
      </c>
      <c r="K7" s="5" t="s">
        <v>59</v>
      </c>
      <c r="L7" s="5" t="s">
        <v>40</v>
      </c>
      <c r="M7" s="5" t="s">
        <v>60</v>
      </c>
      <c r="N7" s="6">
        <v>119.98</v>
      </c>
    </row>
    <row r="8" spans="1:14" ht="15" customHeight="1" x14ac:dyDescent="0.3">
      <c r="A8" s="3" t="s">
        <v>61</v>
      </c>
      <c r="B8" s="3" t="s">
        <v>56</v>
      </c>
      <c r="C8" s="3" t="s">
        <v>57</v>
      </c>
      <c r="D8" s="3" t="s">
        <v>58</v>
      </c>
      <c r="E8" s="3" t="s">
        <v>62</v>
      </c>
      <c r="F8" s="3" t="s">
        <v>63</v>
      </c>
      <c r="G8" s="3" t="s">
        <v>19</v>
      </c>
      <c r="H8" s="3">
        <v>5</v>
      </c>
      <c r="I8" s="4">
        <v>149.99</v>
      </c>
      <c r="J8" s="3" t="s">
        <v>28</v>
      </c>
      <c r="K8" s="3" t="s">
        <v>21</v>
      </c>
      <c r="L8" s="3" t="s">
        <v>40</v>
      </c>
      <c r="M8" s="3" t="s">
        <v>64</v>
      </c>
      <c r="N8" s="4">
        <v>749.95</v>
      </c>
    </row>
    <row r="9" spans="1:14" ht="15" customHeight="1" x14ac:dyDescent="0.3">
      <c r="A9" s="5" t="s">
        <v>65</v>
      </c>
      <c r="B9" s="5" t="s">
        <v>56</v>
      </c>
      <c r="C9" s="5" t="s">
        <v>66</v>
      </c>
      <c r="D9" s="5" t="s">
        <v>67</v>
      </c>
      <c r="E9" s="5" t="s">
        <v>35</v>
      </c>
      <c r="F9" s="5" t="s">
        <v>36</v>
      </c>
      <c r="G9" s="5" t="s">
        <v>37</v>
      </c>
      <c r="H9" s="5">
        <v>3</v>
      </c>
      <c r="I9" s="6">
        <v>59.99</v>
      </c>
      <c r="J9" s="5" t="s">
        <v>68</v>
      </c>
      <c r="K9" s="5" t="s">
        <v>39</v>
      </c>
      <c r="L9" s="5" t="s">
        <v>22</v>
      </c>
      <c r="M9" s="5" t="s">
        <v>69</v>
      </c>
      <c r="N9" s="6">
        <v>179.97</v>
      </c>
    </row>
    <row r="10" spans="1:14" ht="15" customHeight="1" x14ac:dyDescent="0.3">
      <c r="A10" s="3" t="s">
        <v>70</v>
      </c>
      <c r="B10" s="3" t="s">
        <v>71</v>
      </c>
      <c r="C10" s="3" t="s">
        <v>72</v>
      </c>
      <c r="D10" s="3" t="s">
        <v>73</v>
      </c>
      <c r="E10" s="3" t="s">
        <v>74</v>
      </c>
      <c r="F10" s="3" t="s">
        <v>75</v>
      </c>
      <c r="G10" s="3" t="s">
        <v>19</v>
      </c>
      <c r="H10" s="3">
        <v>3</v>
      </c>
      <c r="I10" s="4">
        <v>899.99</v>
      </c>
      <c r="J10" s="3" t="s">
        <v>38</v>
      </c>
      <c r="K10" s="3" t="s">
        <v>76</v>
      </c>
      <c r="L10" s="3" t="s">
        <v>40</v>
      </c>
      <c r="M10" s="3" t="s">
        <v>77</v>
      </c>
      <c r="N10" s="4">
        <v>2699.97</v>
      </c>
    </row>
    <row r="11" spans="1:14" ht="15" customHeight="1" x14ac:dyDescent="0.3">
      <c r="A11" s="5" t="s">
        <v>78</v>
      </c>
      <c r="B11" s="5" t="s">
        <v>79</v>
      </c>
      <c r="C11" s="5" t="s">
        <v>80</v>
      </c>
      <c r="D11" s="5" t="s">
        <v>81</v>
      </c>
      <c r="E11" s="5" t="s">
        <v>35</v>
      </c>
      <c r="F11" s="5" t="s">
        <v>36</v>
      </c>
      <c r="G11" s="5" t="s">
        <v>37</v>
      </c>
      <c r="H11" s="5">
        <v>3</v>
      </c>
      <c r="I11" s="6">
        <v>59.99</v>
      </c>
      <c r="J11" s="5" t="s">
        <v>20</v>
      </c>
      <c r="K11" s="5" t="s">
        <v>59</v>
      </c>
      <c r="L11" s="5" t="s">
        <v>29</v>
      </c>
      <c r="M11" s="5" t="s">
        <v>82</v>
      </c>
      <c r="N11" s="6">
        <v>179.97</v>
      </c>
    </row>
    <row r="12" spans="1:14" ht="15" customHeight="1" x14ac:dyDescent="0.3">
      <c r="A12" s="3" t="s">
        <v>83</v>
      </c>
      <c r="B12" s="3" t="s">
        <v>79</v>
      </c>
      <c r="C12" s="3" t="s">
        <v>84</v>
      </c>
      <c r="D12" s="3" t="s">
        <v>85</v>
      </c>
      <c r="E12" s="3" t="s">
        <v>51</v>
      </c>
      <c r="F12" s="3" t="s">
        <v>52</v>
      </c>
      <c r="G12" s="3" t="s">
        <v>53</v>
      </c>
      <c r="H12" s="3">
        <v>1</v>
      </c>
      <c r="I12" s="4">
        <v>149.99</v>
      </c>
      <c r="J12" s="3" t="s">
        <v>28</v>
      </c>
      <c r="K12" s="3" t="s">
        <v>59</v>
      </c>
      <c r="L12" s="3" t="s">
        <v>40</v>
      </c>
      <c r="M12" s="3" t="s">
        <v>86</v>
      </c>
      <c r="N12" s="4">
        <v>149.99</v>
      </c>
    </row>
    <row r="13" spans="1:14" ht="15" customHeight="1" x14ac:dyDescent="0.3">
      <c r="A13" s="5" t="s">
        <v>87</v>
      </c>
      <c r="B13" s="5" t="s">
        <v>79</v>
      </c>
      <c r="C13" s="5" t="s">
        <v>44</v>
      </c>
      <c r="D13" s="5" t="s">
        <v>45</v>
      </c>
      <c r="E13" s="5" t="s">
        <v>51</v>
      </c>
      <c r="F13" s="5" t="s">
        <v>52</v>
      </c>
      <c r="G13" s="5" t="s">
        <v>53</v>
      </c>
      <c r="H13" s="5">
        <v>5</v>
      </c>
      <c r="I13" s="6">
        <v>149.99</v>
      </c>
      <c r="J13" s="5" t="s">
        <v>68</v>
      </c>
      <c r="K13" s="5" t="s">
        <v>46</v>
      </c>
      <c r="L13" s="5" t="s">
        <v>22</v>
      </c>
      <c r="M13" s="5" t="s">
        <v>88</v>
      </c>
      <c r="N13" s="6">
        <v>749.95</v>
      </c>
    </row>
    <row r="14" spans="1:14" ht="15" customHeight="1" x14ac:dyDescent="0.3">
      <c r="A14" s="3" t="s">
        <v>89</v>
      </c>
      <c r="B14" s="3" t="s">
        <v>79</v>
      </c>
      <c r="C14" s="3" t="s">
        <v>90</v>
      </c>
      <c r="D14" s="3" t="s">
        <v>91</v>
      </c>
      <c r="E14" s="3" t="s">
        <v>51</v>
      </c>
      <c r="F14" s="3" t="s">
        <v>52</v>
      </c>
      <c r="G14" s="3" t="s">
        <v>53</v>
      </c>
      <c r="H14" s="3">
        <v>3</v>
      </c>
      <c r="I14" s="4">
        <v>149.99</v>
      </c>
      <c r="J14" s="3" t="s">
        <v>20</v>
      </c>
      <c r="K14" s="3" t="s">
        <v>46</v>
      </c>
      <c r="L14" s="3" t="s">
        <v>29</v>
      </c>
      <c r="M14" s="3" t="s">
        <v>92</v>
      </c>
      <c r="N14" s="4">
        <v>449.97</v>
      </c>
    </row>
    <row r="15" spans="1:14" ht="15" customHeight="1" x14ac:dyDescent="0.3">
      <c r="A15" s="5" t="s">
        <v>93</v>
      </c>
      <c r="B15" s="5" t="s">
        <v>94</v>
      </c>
      <c r="C15" s="5" t="s">
        <v>95</v>
      </c>
      <c r="D15" s="5" t="s">
        <v>96</v>
      </c>
      <c r="E15" s="5" t="s">
        <v>35</v>
      </c>
      <c r="F15" s="5" t="s">
        <v>36</v>
      </c>
      <c r="G15" s="5" t="s">
        <v>37</v>
      </c>
      <c r="H15" s="5">
        <v>3</v>
      </c>
      <c r="I15" s="6">
        <v>59.99</v>
      </c>
      <c r="J15" s="5" t="s">
        <v>28</v>
      </c>
      <c r="K15" s="5" t="s">
        <v>46</v>
      </c>
      <c r="L15" s="5" t="s">
        <v>40</v>
      </c>
      <c r="M15" s="5" t="s">
        <v>97</v>
      </c>
      <c r="N15" s="6">
        <v>179.97</v>
      </c>
    </row>
    <row r="16" spans="1:14" ht="15" customHeight="1" x14ac:dyDescent="0.3">
      <c r="A16" s="3" t="s">
        <v>98</v>
      </c>
      <c r="B16" s="3" t="s">
        <v>94</v>
      </c>
      <c r="C16" s="3" t="s">
        <v>99</v>
      </c>
      <c r="D16" s="3" t="s">
        <v>100</v>
      </c>
      <c r="E16" s="3" t="s">
        <v>101</v>
      </c>
      <c r="F16" s="3" t="s">
        <v>102</v>
      </c>
      <c r="G16" s="3" t="s">
        <v>19</v>
      </c>
      <c r="H16" s="3">
        <v>3</v>
      </c>
      <c r="I16" s="4">
        <v>699.99</v>
      </c>
      <c r="J16" s="3" t="s">
        <v>28</v>
      </c>
      <c r="K16" s="3" t="s">
        <v>59</v>
      </c>
      <c r="L16" s="3" t="s">
        <v>22</v>
      </c>
      <c r="M16" s="3" t="s">
        <v>103</v>
      </c>
      <c r="N16" s="4">
        <v>2099.9699999999998</v>
      </c>
    </row>
    <row r="17" spans="1:14" ht="15" customHeight="1" x14ac:dyDescent="0.3">
      <c r="A17" s="5" t="s">
        <v>104</v>
      </c>
      <c r="B17" s="5" t="s">
        <v>94</v>
      </c>
      <c r="C17" s="5" t="s">
        <v>105</v>
      </c>
      <c r="D17" s="5" t="s">
        <v>106</v>
      </c>
      <c r="E17" s="5" t="s">
        <v>74</v>
      </c>
      <c r="F17" s="5" t="s">
        <v>75</v>
      </c>
      <c r="G17" s="5" t="s">
        <v>19</v>
      </c>
      <c r="H17" s="5">
        <v>1</v>
      </c>
      <c r="I17" s="6">
        <v>899.99</v>
      </c>
      <c r="J17" s="5" t="s">
        <v>68</v>
      </c>
      <c r="K17" s="5" t="s">
        <v>46</v>
      </c>
      <c r="L17" s="5" t="s">
        <v>40</v>
      </c>
      <c r="M17" s="5" t="s">
        <v>107</v>
      </c>
      <c r="N17" s="6">
        <v>899.99</v>
      </c>
    </row>
    <row r="18" spans="1:14" ht="15" customHeight="1" x14ac:dyDescent="0.3">
      <c r="A18" s="3" t="s">
        <v>108</v>
      </c>
      <c r="B18" s="3" t="s">
        <v>109</v>
      </c>
      <c r="C18" s="3" t="s">
        <v>110</v>
      </c>
      <c r="D18" s="3" t="s">
        <v>111</v>
      </c>
      <c r="E18" s="3" t="s">
        <v>51</v>
      </c>
      <c r="F18" s="3" t="s">
        <v>52</v>
      </c>
      <c r="G18" s="3" t="s">
        <v>53</v>
      </c>
      <c r="H18" s="3">
        <v>4</v>
      </c>
      <c r="I18" s="4">
        <v>149.99</v>
      </c>
      <c r="J18" s="3" t="s">
        <v>68</v>
      </c>
      <c r="K18" s="3" t="s">
        <v>46</v>
      </c>
      <c r="L18" s="3" t="s">
        <v>29</v>
      </c>
      <c r="M18" s="3" t="s">
        <v>112</v>
      </c>
      <c r="N18" s="4">
        <v>599.96</v>
      </c>
    </row>
    <row r="19" spans="1:14" ht="15" customHeight="1" x14ac:dyDescent="0.3">
      <c r="A19" s="5" t="s">
        <v>113</v>
      </c>
      <c r="B19" s="5" t="s">
        <v>109</v>
      </c>
      <c r="C19" s="5" t="s">
        <v>114</v>
      </c>
      <c r="D19" s="5" t="s">
        <v>115</v>
      </c>
      <c r="E19" s="5" t="s">
        <v>101</v>
      </c>
      <c r="F19" s="5" t="s">
        <v>102</v>
      </c>
      <c r="G19" s="5" t="s">
        <v>19</v>
      </c>
      <c r="H19" s="5">
        <v>2</v>
      </c>
      <c r="I19" s="6">
        <v>699.99</v>
      </c>
      <c r="J19" s="5" t="s">
        <v>20</v>
      </c>
      <c r="K19" s="5" t="s">
        <v>46</v>
      </c>
      <c r="L19" s="5" t="s">
        <v>22</v>
      </c>
      <c r="M19" s="5" t="s">
        <v>116</v>
      </c>
      <c r="N19" s="6">
        <v>1399.98</v>
      </c>
    </row>
    <row r="20" spans="1:14" ht="15" customHeight="1" x14ac:dyDescent="0.3">
      <c r="A20" s="3" t="s">
        <v>117</v>
      </c>
      <c r="B20" s="3" t="s">
        <v>109</v>
      </c>
      <c r="C20" s="3" t="s">
        <v>110</v>
      </c>
      <c r="D20" s="3" t="s">
        <v>111</v>
      </c>
      <c r="E20" s="3" t="s">
        <v>74</v>
      </c>
      <c r="F20" s="3" t="s">
        <v>75</v>
      </c>
      <c r="G20" s="3" t="s">
        <v>19</v>
      </c>
      <c r="H20" s="3">
        <v>4</v>
      </c>
      <c r="I20" s="4">
        <v>899.99</v>
      </c>
      <c r="J20" s="3" t="s">
        <v>28</v>
      </c>
      <c r="K20" s="3" t="s">
        <v>59</v>
      </c>
      <c r="L20" s="3" t="s">
        <v>40</v>
      </c>
      <c r="M20" s="3" t="s">
        <v>118</v>
      </c>
      <c r="N20" s="4">
        <v>3599.96</v>
      </c>
    </row>
    <row r="21" spans="1:14" ht="15" customHeight="1" x14ac:dyDescent="0.3">
      <c r="A21" s="5" t="s">
        <v>119</v>
      </c>
      <c r="B21" s="5" t="s">
        <v>109</v>
      </c>
      <c r="C21" s="5" t="s">
        <v>120</v>
      </c>
      <c r="D21" s="5" t="s">
        <v>121</v>
      </c>
      <c r="E21" s="5" t="s">
        <v>17</v>
      </c>
      <c r="F21" s="5" t="s">
        <v>18</v>
      </c>
      <c r="G21" s="5" t="s">
        <v>19</v>
      </c>
      <c r="H21" s="5">
        <v>3</v>
      </c>
      <c r="I21" s="6">
        <v>249.99</v>
      </c>
      <c r="J21" s="5" t="s">
        <v>28</v>
      </c>
      <c r="K21" s="5" t="s">
        <v>46</v>
      </c>
      <c r="L21" s="5" t="s">
        <v>29</v>
      </c>
      <c r="M21" s="5" t="s">
        <v>122</v>
      </c>
      <c r="N21" s="6">
        <v>749.97</v>
      </c>
    </row>
    <row r="22" spans="1:14" ht="15" customHeight="1" x14ac:dyDescent="0.3">
      <c r="A22" s="3" t="s">
        <v>123</v>
      </c>
      <c r="B22" s="3" t="s">
        <v>124</v>
      </c>
      <c r="C22" s="3" t="s">
        <v>125</v>
      </c>
      <c r="D22" s="3" t="s">
        <v>126</v>
      </c>
      <c r="E22" s="3" t="s">
        <v>101</v>
      </c>
      <c r="F22" s="3" t="s">
        <v>102</v>
      </c>
      <c r="G22" s="3" t="s">
        <v>19</v>
      </c>
      <c r="H22" s="3">
        <v>5</v>
      </c>
      <c r="I22" s="4">
        <v>699.99</v>
      </c>
      <c r="J22" s="3" t="s">
        <v>20</v>
      </c>
      <c r="K22" s="3" t="s">
        <v>59</v>
      </c>
      <c r="L22" s="3" t="s">
        <v>22</v>
      </c>
      <c r="M22" s="3" t="s">
        <v>127</v>
      </c>
      <c r="N22" s="4">
        <v>3499.95</v>
      </c>
    </row>
    <row r="23" spans="1:14" ht="15" customHeight="1" x14ac:dyDescent="0.3">
      <c r="A23" s="5" t="s">
        <v>128</v>
      </c>
      <c r="B23" s="5" t="s">
        <v>129</v>
      </c>
      <c r="C23" s="5" t="s">
        <v>130</v>
      </c>
      <c r="D23" s="5" t="s">
        <v>131</v>
      </c>
      <c r="E23" s="5" t="s">
        <v>101</v>
      </c>
      <c r="F23" s="5" t="s">
        <v>102</v>
      </c>
      <c r="G23" s="5" t="s">
        <v>19</v>
      </c>
      <c r="H23" s="5">
        <v>4</v>
      </c>
      <c r="I23" s="6">
        <v>699.99</v>
      </c>
      <c r="J23" s="5" t="s">
        <v>20</v>
      </c>
      <c r="K23" s="5" t="s">
        <v>76</v>
      </c>
      <c r="L23" s="5" t="s">
        <v>40</v>
      </c>
      <c r="M23" s="5" t="s">
        <v>132</v>
      </c>
      <c r="N23" s="6">
        <v>2799.96</v>
      </c>
    </row>
    <row r="24" spans="1:14" ht="15" customHeight="1" x14ac:dyDescent="0.3">
      <c r="A24" s="3" t="s">
        <v>133</v>
      </c>
      <c r="B24" s="3" t="s">
        <v>134</v>
      </c>
      <c r="C24" s="3" t="s">
        <v>135</v>
      </c>
      <c r="D24" s="3" t="s">
        <v>136</v>
      </c>
      <c r="E24" s="3" t="s">
        <v>17</v>
      </c>
      <c r="F24" s="3" t="s">
        <v>18</v>
      </c>
      <c r="G24" s="3" t="s">
        <v>19</v>
      </c>
      <c r="H24" s="3">
        <v>4</v>
      </c>
      <c r="I24" s="4">
        <v>249.99</v>
      </c>
      <c r="J24" s="3" t="s">
        <v>38</v>
      </c>
      <c r="K24" s="3" t="s">
        <v>46</v>
      </c>
      <c r="L24" s="3" t="s">
        <v>40</v>
      </c>
      <c r="M24" s="3" t="s">
        <v>137</v>
      </c>
      <c r="N24" s="4">
        <v>999.96</v>
      </c>
    </row>
    <row r="25" spans="1:14" ht="15" customHeight="1" x14ac:dyDescent="0.3">
      <c r="A25" s="5" t="s">
        <v>138</v>
      </c>
      <c r="B25" s="5" t="s">
        <v>139</v>
      </c>
      <c r="C25" s="5" t="s">
        <v>110</v>
      </c>
      <c r="D25" s="5" t="s">
        <v>111</v>
      </c>
      <c r="E25" s="5" t="s">
        <v>140</v>
      </c>
      <c r="F25" s="5" t="s">
        <v>141</v>
      </c>
      <c r="G25" s="5" t="s">
        <v>53</v>
      </c>
      <c r="H25" s="5">
        <v>4</v>
      </c>
      <c r="I25" s="6">
        <v>299.99</v>
      </c>
      <c r="J25" s="5" t="s">
        <v>20</v>
      </c>
      <c r="K25" s="5" t="s">
        <v>59</v>
      </c>
      <c r="L25" s="5" t="s">
        <v>29</v>
      </c>
      <c r="M25" s="5" t="s">
        <v>142</v>
      </c>
      <c r="N25" s="6">
        <v>1199.96</v>
      </c>
    </row>
    <row r="26" spans="1:14" ht="15" customHeight="1" x14ac:dyDescent="0.3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17</v>
      </c>
      <c r="F26" s="3" t="s">
        <v>18</v>
      </c>
      <c r="G26" s="3" t="s">
        <v>19</v>
      </c>
      <c r="H26" s="3">
        <v>5</v>
      </c>
      <c r="I26" s="4">
        <v>249.99</v>
      </c>
      <c r="J26" s="3" t="s">
        <v>28</v>
      </c>
      <c r="K26" s="3" t="s">
        <v>59</v>
      </c>
      <c r="L26" s="3" t="s">
        <v>40</v>
      </c>
      <c r="M26" s="3" t="s">
        <v>147</v>
      </c>
      <c r="N26" s="4">
        <v>1249.95</v>
      </c>
    </row>
    <row r="27" spans="1:14" ht="15" customHeight="1" x14ac:dyDescent="0.3">
      <c r="A27" s="5" t="s">
        <v>148</v>
      </c>
      <c r="B27" s="5" t="s">
        <v>149</v>
      </c>
      <c r="C27" s="5" t="s">
        <v>84</v>
      </c>
      <c r="D27" s="5" t="s">
        <v>85</v>
      </c>
      <c r="E27" s="5" t="s">
        <v>140</v>
      </c>
      <c r="F27" s="5" t="s">
        <v>141</v>
      </c>
      <c r="G27" s="5" t="s">
        <v>53</v>
      </c>
      <c r="H27" s="5">
        <v>5</v>
      </c>
      <c r="I27" s="6">
        <v>299.99</v>
      </c>
      <c r="J27" s="5" t="s">
        <v>38</v>
      </c>
      <c r="K27" s="5" t="s">
        <v>76</v>
      </c>
      <c r="L27" s="5" t="s">
        <v>22</v>
      </c>
      <c r="M27" s="5" t="s">
        <v>150</v>
      </c>
      <c r="N27" s="6">
        <v>1499.95</v>
      </c>
    </row>
    <row r="28" spans="1:14" ht="15" customHeight="1" x14ac:dyDescent="0.3">
      <c r="A28" s="3" t="s">
        <v>151</v>
      </c>
      <c r="B28" s="3" t="s">
        <v>149</v>
      </c>
      <c r="C28" s="3" t="s">
        <v>152</v>
      </c>
      <c r="D28" s="3" t="s">
        <v>153</v>
      </c>
      <c r="E28" s="3" t="s">
        <v>154</v>
      </c>
      <c r="F28" s="3" t="s">
        <v>155</v>
      </c>
      <c r="G28" s="3" t="s">
        <v>37</v>
      </c>
      <c r="H28" s="3">
        <v>3</v>
      </c>
      <c r="I28" s="4">
        <v>79.989999999999995</v>
      </c>
      <c r="J28" s="3" t="s">
        <v>38</v>
      </c>
      <c r="K28" s="3" t="s">
        <v>76</v>
      </c>
      <c r="L28" s="3" t="s">
        <v>29</v>
      </c>
      <c r="M28" s="3" t="s">
        <v>156</v>
      </c>
      <c r="N28" s="4">
        <v>239.97</v>
      </c>
    </row>
    <row r="29" spans="1:14" ht="15" customHeight="1" x14ac:dyDescent="0.3">
      <c r="A29" s="5" t="s">
        <v>157</v>
      </c>
      <c r="B29" s="5" t="s">
        <v>149</v>
      </c>
      <c r="C29" s="5" t="s">
        <v>130</v>
      </c>
      <c r="D29" s="5" t="s">
        <v>131</v>
      </c>
      <c r="E29" s="5" t="s">
        <v>158</v>
      </c>
      <c r="F29" s="5" t="s">
        <v>159</v>
      </c>
      <c r="G29" s="5" t="s">
        <v>19</v>
      </c>
      <c r="H29" s="5">
        <v>5</v>
      </c>
      <c r="I29" s="6">
        <v>89.99</v>
      </c>
      <c r="J29" s="5" t="s">
        <v>20</v>
      </c>
      <c r="K29" s="5" t="s">
        <v>46</v>
      </c>
      <c r="L29" s="5" t="s">
        <v>29</v>
      </c>
      <c r="M29" s="5" t="s">
        <v>160</v>
      </c>
      <c r="N29" s="6">
        <v>449.95</v>
      </c>
    </row>
    <row r="30" spans="1:14" ht="15" customHeight="1" x14ac:dyDescent="0.3">
      <c r="A30" s="3" t="s">
        <v>161</v>
      </c>
      <c r="B30" s="3" t="s">
        <v>162</v>
      </c>
      <c r="C30" s="3" t="s">
        <v>163</v>
      </c>
      <c r="D30" s="3" t="s">
        <v>164</v>
      </c>
      <c r="E30" s="3" t="s">
        <v>35</v>
      </c>
      <c r="F30" s="3" t="s">
        <v>36</v>
      </c>
      <c r="G30" s="3" t="s">
        <v>37</v>
      </c>
      <c r="H30" s="3">
        <v>2</v>
      </c>
      <c r="I30" s="4">
        <v>59.99</v>
      </c>
      <c r="J30" s="3" t="s">
        <v>68</v>
      </c>
      <c r="K30" s="3" t="s">
        <v>21</v>
      </c>
      <c r="L30" s="3" t="s">
        <v>40</v>
      </c>
      <c r="M30" s="3" t="s">
        <v>165</v>
      </c>
      <c r="N30" s="4">
        <v>119.98</v>
      </c>
    </row>
    <row r="31" spans="1:14" ht="15" customHeight="1" x14ac:dyDescent="0.3">
      <c r="A31" s="5" t="s">
        <v>166</v>
      </c>
      <c r="B31" s="5" t="s">
        <v>167</v>
      </c>
      <c r="C31" s="5" t="s">
        <v>168</v>
      </c>
      <c r="D31" s="5" t="s">
        <v>169</v>
      </c>
      <c r="E31" s="5" t="s">
        <v>35</v>
      </c>
      <c r="F31" s="5" t="s">
        <v>36</v>
      </c>
      <c r="G31" s="5" t="s">
        <v>37</v>
      </c>
      <c r="H31" s="5">
        <v>4</v>
      </c>
      <c r="I31" s="6">
        <v>59.99</v>
      </c>
      <c r="J31" s="5" t="s">
        <v>68</v>
      </c>
      <c r="K31" s="5" t="s">
        <v>76</v>
      </c>
      <c r="L31" s="5" t="s">
        <v>40</v>
      </c>
      <c r="M31" s="5" t="s">
        <v>170</v>
      </c>
      <c r="N31" s="6">
        <v>239.96</v>
      </c>
    </row>
    <row r="32" spans="1:14" ht="15" customHeight="1" x14ac:dyDescent="0.3">
      <c r="A32" s="3" t="s">
        <v>171</v>
      </c>
      <c r="B32" s="3" t="s">
        <v>167</v>
      </c>
      <c r="C32" s="3" t="s">
        <v>66</v>
      </c>
      <c r="D32" s="3" t="s">
        <v>67</v>
      </c>
      <c r="E32" s="3" t="s">
        <v>172</v>
      </c>
      <c r="F32" s="3" t="s">
        <v>173</v>
      </c>
      <c r="G32" s="3" t="s">
        <v>53</v>
      </c>
      <c r="H32" s="3">
        <v>5</v>
      </c>
      <c r="I32" s="4">
        <v>199.99</v>
      </c>
      <c r="J32" s="3" t="s">
        <v>20</v>
      </c>
      <c r="K32" s="3" t="s">
        <v>39</v>
      </c>
      <c r="L32" s="3" t="s">
        <v>40</v>
      </c>
      <c r="M32" s="3" t="s">
        <v>174</v>
      </c>
      <c r="N32" s="4">
        <v>999.95</v>
      </c>
    </row>
    <row r="33" spans="1:14" ht="15" customHeight="1" x14ac:dyDescent="0.3">
      <c r="A33" s="5" t="s">
        <v>175</v>
      </c>
      <c r="B33" s="5" t="s">
        <v>176</v>
      </c>
      <c r="C33" s="5" t="s">
        <v>177</v>
      </c>
      <c r="D33" s="5" t="s">
        <v>178</v>
      </c>
      <c r="E33" s="5" t="s">
        <v>51</v>
      </c>
      <c r="F33" s="5" t="s">
        <v>52</v>
      </c>
      <c r="G33" s="5" t="s">
        <v>53</v>
      </c>
      <c r="H33" s="5">
        <v>2</v>
      </c>
      <c r="I33" s="6">
        <v>149.99</v>
      </c>
      <c r="J33" s="5" t="s">
        <v>28</v>
      </c>
      <c r="K33" s="5" t="s">
        <v>59</v>
      </c>
      <c r="L33" s="5" t="s">
        <v>22</v>
      </c>
      <c r="M33" s="5" t="s">
        <v>179</v>
      </c>
      <c r="N33" s="6">
        <v>299.98</v>
      </c>
    </row>
    <row r="34" spans="1:14" ht="15" customHeight="1" x14ac:dyDescent="0.3">
      <c r="A34" s="3" t="s">
        <v>180</v>
      </c>
      <c r="B34" s="3" t="s">
        <v>181</v>
      </c>
      <c r="C34" s="3" t="s">
        <v>182</v>
      </c>
      <c r="D34" s="3" t="s">
        <v>183</v>
      </c>
      <c r="E34" s="3" t="s">
        <v>51</v>
      </c>
      <c r="F34" s="3" t="s">
        <v>52</v>
      </c>
      <c r="G34" s="3" t="s">
        <v>53</v>
      </c>
      <c r="H34" s="3">
        <v>3</v>
      </c>
      <c r="I34" s="4">
        <v>149.99</v>
      </c>
      <c r="J34" s="3" t="s">
        <v>28</v>
      </c>
      <c r="K34" s="3" t="s">
        <v>59</v>
      </c>
      <c r="L34" s="3" t="s">
        <v>29</v>
      </c>
      <c r="M34" s="3" t="s">
        <v>184</v>
      </c>
      <c r="N34" s="4">
        <v>449.97</v>
      </c>
    </row>
    <row r="35" spans="1:14" ht="15" customHeight="1" x14ac:dyDescent="0.3">
      <c r="A35" s="5" t="s">
        <v>185</v>
      </c>
      <c r="B35" s="5" t="s">
        <v>186</v>
      </c>
      <c r="C35" s="5" t="s">
        <v>33</v>
      </c>
      <c r="D35" s="5" t="s">
        <v>34</v>
      </c>
      <c r="E35" s="5" t="s">
        <v>74</v>
      </c>
      <c r="F35" s="5" t="s">
        <v>75</v>
      </c>
      <c r="G35" s="5" t="s">
        <v>19</v>
      </c>
      <c r="H35" s="5">
        <v>1</v>
      </c>
      <c r="I35" s="6">
        <v>899.99</v>
      </c>
      <c r="J35" s="5" t="s">
        <v>28</v>
      </c>
      <c r="K35" s="5" t="s">
        <v>59</v>
      </c>
      <c r="L35" s="5" t="s">
        <v>29</v>
      </c>
      <c r="M35" s="5" t="s">
        <v>187</v>
      </c>
      <c r="N35" s="6">
        <v>899.99</v>
      </c>
    </row>
    <row r="36" spans="1:14" ht="15" customHeight="1" x14ac:dyDescent="0.3">
      <c r="A36" s="3" t="s">
        <v>188</v>
      </c>
      <c r="B36" s="3" t="s">
        <v>189</v>
      </c>
      <c r="C36" s="3" t="s">
        <v>130</v>
      </c>
      <c r="D36" s="3" t="s">
        <v>131</v>
      </c>
      <c r="E36" s="3" t="s">
        <v>140</v>
      </c>
      <c r="F36" s="3" t="s">
        <v>141</v>
      </c>
      <c r="G36" s="3" t="s">
        <v>53</v>
      </c>
      <c r="H36" s="3">
        <v>3</v>
      </c>
      <c r="I36" s="4">
        <v>299.99</v>
      </c>
      <c r="J36" s="3" t="s">
        <v>28</v>
      </c>
      <c r="K36" s="3" t="s">
        <v>76</v>
      </c>
      <c r="L36" s="3" t="s">
        <v>22</v>
      </c>
      <c r="M36" s="3" t="s">
        <v>190</v>
      </c>
      <c r="N36" s="4">
        <v>899.97</v>
      </c>
    </row>
    <row r="37" spans="1:14" ht="15" customHeight="1" x14ac:dyDescent="0.3">
      <c r="A37" s="5" t="s">
        <v>191</v>
      </c>
      <c r="B37" s="5" t="s">
        <v>192</v>
      </c>
      <c r="C37" s="5" t="s">
        <v>177</v>
      </c>
      <c r="D37" s="5" t="s">
        <v>178</v>
      </c>
      <c r="E37" s="5" t="s">
        <v>154</v>
      </c>
      <c r="F37" s="5" t="s">
        <v>155</v>
      </c>
      <c r="G37" s="5" t="s">
        <v>37</v>
      </c>
      <c r="H37" s="5">
        <v>3</v>
      </c>
      <c r="I37" s="6">
        <v>79.989999999999995</v>
      </c>
      <c r="J37" s="5" t="s">
        <v>20</v>
      </c>
      <c r="K37" s="5" t="s">
        <v>39</v>
      </c>
      <c r="L37" s="5" t="s">
        <v>22</v>
      </c>
      <c r="M37" s="5" t="s">
        <v>193</v>
      </c>
      <c r="N37" s="6">
        <v>239.97</v>
      </c>
    </row>
    <row r="38" spans="1:14" ht="15" customHeight="1" x14ac:dyDescent="0.3">
      <c r="A38" s="3" t="s">
        <v>194</v>
      </c>
      <c r="B38" s="3" t="s">
        <v>195</v>
      </c>
      <c r="C38" s="3" t="s">
        <v>196</v>
      </c>
      <c r="D38" s="3" t="s">
        <v>197</v>
      </c>
      <c r="E38" s="3" t="s">
        <v>172</v>
      </c>
      <c r="F38" s="3" t="s">
        <v>173</v>
      </c>
      <c r="G38" s="3" t="s">
        <v>53</v>
      </c>
      <c r="H38" s="3">
        <v>3</v>
      </c>
      <c r="I38" s="4">
        <v>199.99</v>
      </c>
      <c r="J38" s="3" t="s">
        <v>28</v>
      </c>
      <c r="K38" s="3" t="s">
        <v>46</v>
      </c>
      <c r="L38" s="3" t="s">
        <v>29</v>
      </c>
      <c r="M38" s="3" t="s">
        <v>198</v>
      </c>
      <c r="N38" s="4">
        <v>599.97</v>
      </c>
    </row>
    <row r="39" spans="1:14" ht="15" customHeight="1" x14ac:dyDescent="0.3">
      <c r="A39" s="5" t="s">
        <v>199</v>
      </c>
      <c r="B39" s="5" t="s">
        <v>200</v>
      </c>
      <c r="C39" s="5" t="s">
        <v>201</v>
      </c>
      <c r="D39" s="5" t="s">
        <v>202</v>
      </c>
      <c r="E39" s="5" t="s">
        <v>101</v>
      </c>
      <c r="F39" s="5" t="s">
        <v>102</v>
      </c>
      <c r="G39" s="5" t="s">
        <v>19</v>
      </c>
      <c r="H39" s="5">
        <v>5</v>
      </c>
      <c r="I39" s="6">
        <v>699.99</v>
      </c>
      <c r="J39" s="5" t="s">
        <v>38</v>
      </c>
      <c r="K39" s="5" t="s">
        <v>59</v>
      </c>
      <c r="L39" s="5" t="s">
        <v>40</v>
      </c>
      <c r="M39" s="5" t="s">
        <v>203</v>
      </c>
      <c r="N39" s="6">
        <v>3499.95</v>
      </c>
    </row>
    <row r="40" spans="1:14" ht="15" customHeight="1" x14ac:dyDescent="0.3">
      <c r="A40" s="3" t="s">
        <v>204</v>
      </c>
      <c r="B40" s="3" t="s">
        <v>205</v>
      </c>
      <c r="C40" s="3" t="s">
        <v>206</v>
      </c>
      <c r="D40" s="3" t="s">
        <v>207</v>
      </c>
      <c r="E40" s="3" t="s">
        <v>158</v>
      </c>
      <c r="F40" s="3" t="s">
        <v>159</v>
      </c>
      <c r="G40" s="3" t="s">
        <v>19</v>
      </c>
      <c r="H40" s="3">
        <v>3</v>
      </c>
      <c r="I40" s="4">
        <v>89.99</v>
      </c>
      <c r="J40" s="3" t="s">
        <v>38</v>
      </c>
      <c r="K40" s="3" t="s">
        <v>21</v>
      </c>
      <c r="L40" s="3" t="s">
        <v>29</v>
      </c>
      <c r="M40" s="3" t="s">
        <v>208</v>
      </c>
      <c r="N40" s="4">
        <v>269.97000000000003</v>
      </c>
    </row>
    <row r="41" spans="1:14" ht="15" customHeight="1" x14ac:dyDescent="0.3">
      <c r="A41" s="5" t="s">
        <v>209</v>
      </c>
      <c r="B41" s="5" t="s">
        <v>210</v>
      </c>
      <c r="C41" s="5" t="s">
        <v>211</v>
      </c>
      <c r="D41" s="5" t="s">
        <v>212</v>
      </c>
      <c r="E41" s="5" t="s">
        <v>154</v>
      </c>
      <c r="F41" s="5" t="s">
        <v>155</v>
      </c>
      <c r="G41" s="5" t="s">
        <v>37</v>
      </c>
      <c r="H41" s="5">
        <v>1</v>
      </c>
      <c r="I41" s="6">
        <v>79.989999999999995</v>
      </c>
      <c r="J41" s="5" t="s">
        <v>20</v>
      </c>
      <c r="K41" s="5" t="s">
        <v>46</v>
      </c>
      <c r="L41" s="5" t="s">
        <v>40</v>
      </c>
      <c r="M41" s="5" t="s">
        <v>213</v>
      </c>
      <c r="N41" s="6">
        <v>79.989999999999995</v>
      </c>
    </row>
    <row r="42" spans="1:14" ht="15" customHeight="1" x14ac:dyDescent="0.3">
      <c r="A42" s="3" t="s">
        <v>214</v>
      </c>
      <c r="B42" s="3" t="s">
        <v>215</v>
      </c>
      <c r="C42" s="3" t="s">
        <v>216</v>
      </c>
      <c r="D42" s="3" t="s">
        <v>217</v>
      </c>
      <c r="E42" s="3" t="s">
        <v>35</v>
      </c>
      <c r="F42" s="3" t="s">
        <v>36</v>
      </c>
      <c r="G42" s="3" t="s">
        <v>37</v>
      </c>
      <c r="H42" s="3">
        <v>2</v>
      </c>
      <c r="I42" s="4">
        <v>59.99</v>
      </c>
      <c r="J42" s="3" t="s">
        <v>20</v>
      </c>
      <c r="K42" s="3" t="s">
        <v>59</v>
      </c>
      <c r="L42" s="3" t="s">
        <v>22</v>
      </c>
      <c r="M42" s="3" t="s">
        <v>218</v>
      </c>
      <c r="N42" s="4">
        <v>119.98</v>
      </c>
    </row>
    <row r="43" spans="1:14" ht="15" customHeight="1" x14ac:dyDescent="0.3">
      <c r="A43" s="5" t="s">
        <v>219</v>
      </c>
      <c r="B43" s="5" t="s">
        <v>215</v>
      </c>
      <c r="C43" s="5" t="s">
        <v>66</v>
      </c>
      <c r="D43" s="5" t="s">
        <v>67</v>
      </c>
      <c r="E43" s="5" t="s">
        <v>158</v>
      </c>
      <c r="F43" s="5" t="s">
        <v>159</v>
      </c>
      <c r="G43" s="5" t="s">
        <v>19</v>
      </c>
      <c r="H43" s="5">
        <v>1</v>
      </c>
      <c r="I43" s="6">
        <v>89.99</v>
      </c>
      <c r="J43" s="5" t="s">
        <v>20</v>
      </c>
      <c r="K43" s="5" t="s">
        <v>46</v>
      </c>
      <c r="L43" s="5" t="s">
        <v>22</v>
      </c>
      <c r="M43" s="5" t="s">
        <v>220</v>
      </c>
      <c r="N43" s="6">
        <v>89.99</v>
      </c>
    </row>
    <row r="44" spans="1:14" ht="15" customHeight="1" x14ac:dyDescent="0.3">
      <c r="A44" s="3" t="s">
        <v>221</v>
      </c>
      <c r="B44" s="3" t="s">
        <v>222</v>
      </c>
      <c r="C44" s="3" t="s">
        <v>223</v>
      </c>
      <c r="D44" s="3" t="s">
        <v>224</v>
      </c>
      <c r="E44" s="3" t="s">
        <v>158</v>
      </c>
      <c r="F44" s="3" t="s">
        <v>159</v>
      </c>
      <c r="G44" s="3" t="s">
        <v>19</v>
      </c>
      <c r="H44" s="3">
        <v>5</v>
      </c>
      <c r="I44" s="4">
        <v>89.99</v>
      </c>
      <c r="J44" s="3" t="s">
        <v>28</v>
      </c>
      <c r="K44" s="3" t="s">
        <v>76</v>
      </c>
      <c r="L44" s="3" t="s">
        <v>40</v>
      </c>
      <c r="M44" s="3" t="s">
        <v>225</v>
      </c>
      <c r="N44" s="4">
        <v>449.95</v>
      </c>
    </row>
    <row r="45" spans="1:14" ht="15" customHeight="1" x14ac:dyDescent="0.3">
      <c r="A45" s="5" t="s">
        <v>226</v>
      </c>
      <c r="B45" s="5" t="s">
        <v>227</v>
      </c>
      <c r="C45" s="5" t="s">
        <v>26</v>
      </c>
      <c r="D45" s="5" t="s">
        <v>27</v>
      </c>
      <c r="E45" s="5" t="s">
        <v>17</v>
      </c>
      <c r="F45" s="5" t="s">
        <v>18</v>
      </c>
      <c r="G45" s="5" t="s">
        <v>19</v>
      </c>
      <c r="H45" s="5">
        <v>5</v>
      </c>
      <c r="I45" s="6">
        <v>249.99</v>
      </c>
      <c r="J45" s="5" t="s">
        <v>28</v>
      </c>
      <c r="K45" s="5" t="s">
        <v>76</v>
      </c>
      <c r="L45" s="5" t="s">
        <v>40</v>
      </c>
      <c r="M45" s="5" t="s">
        <v>228</v>
      </c>
      <c r="N45" s="6">
        <v>1249.95</v>
      </c>
    </row>
    <row r="46" spans="1:14" ht="15" customHeight="1" x14ac:dyDescent="0.3">
      <c r="A46" s="3" t="s">
        <v>229</v>
      </c>
      <c r="B46" s="3" t="s">
        <v>227</v>
      </c>
      <c r="C46" s="3" t="s">
        <v>230</v>
      </c>
      <c r="D46" s="3" t="s">
        <v>231</v>
      </c>
      <c r="E46" s="3" t="s">
        <v>158</v>
      </c>
      <c r="F46" s="3" t="s">
        <v>159</v>
      </c>
      <c r="G46" s="3" t="s">
        <v>19</v>
      </c>
      <c r="H46" s="3">
        <v>1</v>
      </c>
      <c r="I46" s="4">
        <v>89.99</v>
      </c>
      <c r="J46" s="3" t="s">
        <v>28</v>
      </c>
      <c r="K46" s="3" t="s">
        <v>39</v>
      </c>
      <c r="L46" s="3" t="s">
        <v>40</v>
      </c>
      <c r="M46" s="3" t="s">
        <v>232</v>
      </c>
      <c r="N46" s="4">
        <v>89.99</v>
      </c>
    </row>
    <row r="47" spans="1:14" ht="15" customHeight="1" x14ac:dyDescent="0.3">
      <c r="A47" s="5" t="s">
        <v>233</v>
      </c>
      <c r="B47" s="5" t="s">
        <v>234</v>
      </c>
      <c r="C47" s="5" t="s">
        <v>49</v>
      </c>
      <c r="D47" s="5" t="s">
        <v>50</v>
      </c>
      <c r="E47" s="5" t="s">
        <v>51</v>
      </c>
      <c r="F47" s="5" t="s">
        <v>52</v>
      </c>
      <c r="G47" s="5" t="s">
        <v>53</v>
      </c>
      <c r="H47" s="5">
        <v>2</v>
      </c>
      <c r="I47" s="6">
        <v>149.99</v>
      </c>
      <c r="J47" s="5" t="s">
        <v>20</v>
      </c>
      <c r="K47" s="5" t="s">
        <v>76</v>
      </c>
      <c r="L47" s="5" t="s">
        <v>29</v>
      </c>
      <c r="M47" s="5" t="s">
        <v>235</v>
      </c>
      <c r="N47" s="6">
        <v>299.98</v>
      </c>
    </row>
    <row r="48" spans="1:14" ht="15" customHeight="1" x14ac:dyDescent="0.3">
      <c r="A48" s="3" t="s">
        <v>236</v>
      </c>
      <c r="B48" s="3" t="s">
        <v>237</v>
      </c>
      <c r="C48" s="3" t="s">
        <v>238</v>
      </c>
      <c r="D48" s="3" t="s">
        <v>239</v>
      </c>
      <c r="E48" s="3" t="s">
        <v>35</v>
      </c>
      <c r="F48" s="3" t="s">
        <v>36</v>
      </c>
      <c r="G48" s="3" t="s">
        <v>37</v>
      </c>
      <c r="H48" s="3">
        <v>4</v>
      </c>
      <c r="I48" s="4">
        <v>59.99</v>
      </c>
      <c r="J48" s="3" t="s">
        <v>20</v>
      </c>
      <c r="K48" s="3" t="s">
        <v>76</v>
      </c>
      <c r="L48" s="3" t="s">
        <v>40</v>
      </c>
      <c r="M48" s="3" t="s">
        <v>240</v>
      </c>
      <c r="N48" s="4">
        <v>239.96</v>
      </c>
    </row>
    <row r="49" spans="1:14" ht="15" customHeight="1" x14ac:dyDescent="0.3">
      <c r="A49" s="5" t="s">
        <v>241</v>
      </c>
      <c r="B49" s="5" t="s">
        <v>242</v>
      </c>
      <c r="C49" s="5" t="s">
        <v>177</v>
      </c>
      <c r="D49" s="5" t="s">
        <v>178</v>
      </c>
      <c r="E49" s="5" t="s">
        <v>158</v>
      </c>
      <c r="F49" s="5" t="s">
        <v>159</v>
      </c>
      <c r="G49" s="5" t="s">
        <v>19</v>
      </c>
      <c r="H49" s="5">
        <v>5</v>
      </c>
      <c r="I49" s="6">
        <v>89.99</v>
      </c>
      <c r="J49" s="5" t="s">
        <v>20</v>
      </c>
      <c r="K49" s="5" t="s">
        <v>21</v>
      </c>
      <c r="L49" s="5" t="s">
        <v>29</v>
      </c>
      <c r="M49" s="5" t="s">
        <v>243</v>
      </c>
      <c r="N49" s="6">
        <v>449.95</v>
      </c>
    </row>
    <row r="50" spans="1:14" ht="15" customHeight="1" x14ac:dyDescent="0.3">
      <c r="A50" s="3" t="s">
        <v>244</v>
      </c>
      <c r="B50" s="3" t="s">
        <v>245</v>
      </c>
      <c r="C50" s="3" t="s">
        <v>130</v>
      </c>
      <c r="D50" s="3" t="s">
        <v>131</v>
      </c>
      <c r="E50" s="3" t="s">
        <v>158</v>
      </c>
      <c r="F50" s="3" t="s">
        <v>159</v>
      </c>
      <c r="G50" s="3" t="s">
        <v>19</v>
      </c>
      <c r="H50" s="3">
        <v>2</v>
      </c>
      <c r="I50" s="4">
        <v>89.99</v>
      </c>
      <c r="J50" s="3" t="s">
        <v>28</v>
      </c>
      <c r="K50" s="3" t="s">
        <v>39</v>
      </c>
      <c r="L50" s="3" t="s">
        <v>29</v>
      </c>
      <c r="M50" s="3" t="s">
        <v>246</v>
      </c>
      <c r="N50" s="4">
        <v>179.98</v>
      </c>
    </row>
    <row r="51" spans="1:14" ht="15" customHeight="1" x14ac:dyDescent="0.3">
      <c r="A51" s="5" t="s">
        <v>247</v>
      </c>
      <c r="B51" s="5" t="s">
        <v>245</v>
      </c>
      <c r="C51" s="5" t="s">
        <v>15</v>
      </c>
      <c r="D51" s="5" t="s">
        <v>16</v>
      </c>
      <c r="E51" s="5" t="s">
        <v>74</v>
      </c>
      <c r="F51" s="5" t="s">
        <v>75</v>
      </c>
      <c r="G51" s="5" t="s">
        <v>19</v>
      </c>
      <c r="H51" s="5">
        <v>5</v>
      </c>
      <c r="I51" s="6">
        <v>899.99</v>
      </c>
      <c r="J51" s="5" t="s">
        <v>28</v>
      </c>
      <c r="K51" s="5" t="s">
        <v>39</v>
      </c>
      <c r="L51" s="5" t="s">
        <v>40</v>
      </c>
      <c r="M51" s="5" t="s">
        <v>248</v>
      </c>
      <c r="N51" s="6">
        <v>4499.95</v>
      </c>
    </row>
    <row r="52" spans="1:14" ht="15" customHeight="1" x14ac:dyDescent="0.3">
      <c r="A52" s="3" t="s">
        <v>249</v>
      </c>
      <c r="B52" s="3" t="s">
        <v>245</v>
      </c>
      <c r="C52" s="3" t="s">
        <v>168</v>
      </c>
      <c r="D52" s="3" t="s">
        <v>169</v>
      </c>
      <c r="E52" s="3" t="s">
        <v>74</v>
      </c>
      <c r="F52" s="3" t="s">
        <v>75</v>
      </c>
      <c r="G52" s="3" t="s">
        <v>19</v>
      </c>
      <c r="H52" s="3">
        <v>5</v>
      </c>
      <c r="I52" s="4">
        <v>899.99</v>
      </c>
      <c r="J52" s="3" t="s">
        <v>38</v>
      </c>
      <c r="K52" s="3" t="s">
        <v>76</v>
      </c>
      <c r="L52" s="3" t="s">
        <v>29</v>
      </c>
      <c r="M52" s="3" t="s">
        <v>250</v>
      </c>
      <c r="N52" s="4">
        <v>4499.95</v>
      </c>
    </row>
    <row r="53" spans="1:14" ht="15" customHeight="1" x14ac:dyDescent="0.3">
      <c r="A53" s="5" t="s">
        <v>251</v>
      </c>
      <c r="B53" s="5" t="s">
        <v>252</v>
      </c>
      <c r="C53" s="5" t="s">
        <v>230</v>
      </c>
      <c r="D53" s="5" t="s">
        <v>231</v>
      </c>
      <c r="E53" s="5" t="s">
        <v>35</v>
      </c>
      <c r="F53" s="5" t="s">
        <v>36</v>
      </c>
      <c r="G53" s="5" t="s">
        <v>37</v>
      </c>
      <c r="H53" s="5">
        <v>1</v>
      </c>
      <c r="I53" s="6">
        <v>59.99</v>
      </c>
      <c r="J53" s="5" t="s">
        <v>68</v>
      </c>
      <c r="K53" s="5" t="s">
        <v>59</v>
      </c>
      <c r="L53" s="5" t="s">
        <v>29</v>
      </c>
      <c r="M53" s="5" t="s">
        <v>253</v>
      </c>
      <c r="N53" s="6">
        <v>59.99</v>
      </c>
    </row>
    <row r="54" spans="1:14" ht="15" customHeight="1" x14ac:dyDescent="0.3">
      <c r="A54" s="3" t="s">
        <v>254</v>
      </c>
      <c r="B54" s="3" t="s">
        <v>252</v>
      </c>
      <c r="C54" s="3" t="s">
        <v>201</v>
      </c>
      <c r="D54" s="3" t="s">
        <v>202</v>
      </c>
      <c r="E54" s="3" t="s">
        <v>140</v>
      </c>
      <c r="F54" s="3" t="s">
        <v>141</v>
      </c>
      <c r="G54" s="3" t="s">
        <v>53</v>
      </c>
      <c r="H54" s="3">
        <v>2</v>
      </c>
      <c r="I54" s="4">
        <v>299.99</v>
      </c>
      <c r="J54" s="3" t="s">
        <v>68</v>
      </c>
      <c r="K54" s="3" t="s">
        <v>76</v>
      </c>
      <c r="L54" s="3" t="s">
        <v>40</v>
      </c>
      <c r="M54" s="3" t="s">
        <v>255</v>
      </c>
      <c r="N54" s="4">
        <v>599.98</v>
      </c>
    </row>
    <row r="55" spans="1:14" ht="15" customHeight="1" x14ac:dyDescent="0.3">
      <c r="A55" s="5" t="s">
        <v>256</v>
      </c>
      <c r="B55" s="5" t="s">
        <v>257</v>
      </c>
      <c r="C55" s="5" t="s">
        <v>258</v>
      </c>
      <c r="D55" s="5" t="s">
        <v>259</v>
      </c>
      <c r="E55" s="5" t="s">
        <v>158</v>
      </c>
      <c r="F55" s="5" t="s">
        <v>159</v>
      </c>
      <c r="G55" s="5" t="s">
        <v>19</v>
      </c>
      <c r="H55" s="5">
        <v>4</v>
      </c>
      <c r="I55" s="6">
        <v>89.99</v>
      </c>
      <c r="J55" s="5" t="s">
        <v>68</v>
      </c>
      <c r="K55" s="5" t="s">
        <v>39</v>
      </c>
      <c r="L55" s="5" t="s">
        <v>22</v>
      </c>
      <c r="M55" s="5" t="s">
        <v>260</v>
      </c>
      <c r="N55" s="6">
        <v>359.96</v>
      </c>
    </row>
    <row r="56" spans="1:14" ht="15" customHeight="1" x14ac:dyDescent="0.3">
      <c r="A56" s="3" t="s">
        <v>261</v>
      </c>
      <c r="B56" s="3" t="s">
        <v>262</v>
      </c>
      <c r="C56" s="3" t="s">
        <v>33</v>
      </c>
      <c r="D56" s="3" t="s">
        <v>34</v>
      </c>
      <c r="E56" s="3" t="s">
        <v>154</v>
      </c>
      <c r="F56" s="3" t="s">
        <v>155</v>
      </c>
      <c r="G56" s="3" t="s">
        <v>37</v>
      </c>
      <c r="H56" s="3">
        <v>1</v>
      </c>
      <c r="I56" s="4">
        <v>79.989999999999995</v>
      </c>
      <c r="J56" s="3" t="s">
        <v>38</v>
      </c>
      <c r="K56" s="3" t="s">
        <v>21</v>
      </c>
      <c r="L56" s="3" t="s">
        <v>29</v>
      </c>
      <c r="M56" s="3" t="s">
        <v>263</v>
      </c>
      <c r="N56" s="4">
        <v>79.989999999999995</v>
      </c>
    </row>
    <row r="57" spans="1:14" ht="15" customHeight="1" x14ac:dyDescent="0.3">
      <c r="A57" s="5" t="s">
        <v>264</v>
      </c>
      <c r="B57" s="5" t="s">
        <v>262</v>
      </c>
      <c r="C57" s="5" t="s">
        <v>72</v>
      </c>
      <c r="D57" s="5" t="s">
        <v>73</v>
      </c>
      <c r="E57" s="5" t="s">
        <v>158</v>
      </c>
      <c r="F57" s="5" t="s">
        <v>159</v>
      </c>
      <c r="G57" s="5" t="s">
        <v>19</v>
      </c>
      <c r="H57" s="5">
        <v>2</v>
      </c>
      <c r="I57" s="6">
        <v>89.99</v>
      </c>
      <c r="J57" s="5" t="s">
        <v>20</v>
      </c>
      <c r="K57" s="5" t="s">
        <v>59</v>
      </c>
      <c r="L57" s="5" t="s">
        <v>22</v>
      </c>
      <c r="M57" s="5" t="s">
        <v>265</v>
      </c>
      <c r="N57" s="6">
        <v>179.98</v>
      </c>
    </row>
    <row r="58" spans="1:14" ht="15" customHeight="1" x14ac:dyDescent="0.3">
      <c r="A58" s="3" t="s">
        <v>266</v>
      </c>
      <c r="B58" s="3" t="s">
        <v>267</v>
      </c>
      <c r="C58" s="3" t="s">
        <v>44</v>
      </c>
      <c r="D58" s="3" t="s">
        <v>45</v>
      </c>
      <c r="E58" s="3" t="s">
        <v>101</v>
      </c>
      <c r="F58" s="3" t="s">
        <v>102</v>
      </c>
      <c r="G58" s="3" t="s">
        <v>19</v>
      </c>
      <c r="H58" s="3">
        <v>3</v>
      </c>
      <c r="I58" s="4">
        <v>699.99</v>
      </c>
      <c r="J58" s="3" t="s">
        <v>28</v>
      </c>
      <c r="K58" s="3" t="s">
        <v>76</v>
      </c>
      <c r="L58" s="3" t="s">
        <v>29</v>
      </c>
      <c r="M58" s="3" t="s">
        <v>268</v>
      </c>
      <c r="N58" s="4">
        <v>2099.9699999999998</v>
      </c>
    </row>
    <row r="59" spans="1:14" ht="15" customHeight="1" x14ac:dyDescent="0.3">
      <c r="A59" s="5" t="s">
        <v>269</v>
      </c>
      <c r="B59" s="5" t="s">
        <v>267</v>
      </c>
      <c r="C59" s="5" t="s">
        <v>130</v>
      </c>
      <c r="D59" s="5" t="s">
        <v>131</v>
      </c>
      <c r="E59" s="5" t="s">
        <v>74</v>
      </c>
      <c r="F59" s="5" t="s">
        <v>75</v>
      </c>
      <c r="G59" s="5" t="s">
        <v>19</v>
      </c>
      <c r="H59" s="5">
        <v>4</v>
      </c>
      <c r="I59" s="6">
        <v>899.99</v>
      </c>
      <c r="J59" s="5" t="s">
        <v>28</v>
      </c>
      <c r="K59" s="5" t="s">
        <v>76</v>
      </c>
      <c r="L59" s="5" t="s">
        <v>29</v>
      </c>
      <c r="M59" s="5" t="s">
        <v>270</v>
      </c>
      <c r="N59" s="6">
        <v>3599.96</v>
      </c>
    </row>
    <row r="60" spans="1:14" ht="15" customHeight="1" x14ac:dyDescent="0.3">
      <c r="A60" s="3" t="s">
        <v>271</v>
      </c>
      <c r="B60" s="3" t="s">
        <v>272</v>
      </c>
      <c r="C60" s="3" t="s">
        <v>163</v>
      </c>
      <c r="D60" s="3" t="s">
        <v>164</v>
      </c>
      <c r="E60" s="3" t="s">
        <v>51</v>
      </c>
      <c r="F60" s="3" t="s">
        <v>52</v>
      </c>
      <c r="G60" s="3" t="s">
        <v>53</v>
      </c>
      <c r="H60" s="3">
        <v>1</v>
      </c>
      <c r="I60" s="4">
        <v>149.99</v>
      </c>
      <c r="J60" s="3" t="s">
        <v>38</v>
      </c>
      <c r="K60" s="3" t="s">
        <v>76</v>
      </c>
      <c r="L60" s="3" t="s">
        <v>22</v>
      </c>
      <c r="M60" s="3" t="s">
        <v>273</v>
      </c>
      <c r="N60" s="4">
        <v>149.99</v>
      </c>
    </row>
    <row r="61" spans="1:14" ht="15" customHeight="1" x14ac:dyDescent="0.3">
      <c r="A61" s="5" t="s">
        <v>274</v>
      </c>
      <c r="B61" s="5" t="s">
        <v>275</v>
      </c>
      <c r="C61" s="5" t="s">
        <v>182</v>
      </c>
      <c r="D61" s="5" t="s">
        <v>183</v>
      </c>
      <c r="E61" s="5" t="s">
        <v>158</v>
      </c>
      <c r="F61" s="5" t="s">
        <v>159</v>
      </c>
      <c r="G61" s="5" t="s">
        <v>19</v>
      </c>
      <c r="H61" s="5">
        <v>2</v>
      </c>
      <c r="I61" s="6">
        <v>89.99</v>
      </c>
      <c r="J61" s="5" t="s">
        <v>38</v>
      </c>
      <c r="K61" s="5" t="s">
        <v>21</v>
      </c>
      <c r="L61" s="5" t="s">
        <v>29</v>
      </c>
      <c r="M61" s="5" t="s">
        <v>276</v>
      </c>
      <c r="N61" s="6">
        <v>179.98</v>
      </c>
    </row>
    <row r="62" spans="1:14" ht="15" customHeight="1" x14ac:dyDescent="0.3">
      <c r="A62" s="3" t="s">
        <v>277</v>
      </c>
      <c r="B62" s="3" t="s">
        <v>278</v>
      </c>
      <c r="C62" s="3" t="s">
        <v>66</v>
      </c>
      <c r="D62" s="3" t="s">
        <v>67</v>
      </c>
      <c r="E62" s="3" t="s">
        <v>158</v>
      </c>
      <c r="F62" s="3" t="s">
        <v>159</v>
      </c>
      <c r="G62" s="3" t="s">
        <v>19</v>
      </c>
      <c r="H62" s="3">
        <v>1</v>
      </c>
      <c r="I62" s="4">
        <v>89.99</v>
      </c>
      <c r="J62" s="3" t="s">
        <v>38</v>
      </c>
      <c r="K62" s="3" t="s">
        <v>59</v>
      </c>
      <c r="L62" s="3" t="s">
        <v>40</v>
      </c>
      <c r="M62" s="3" t="s">
        <v>279</v>
      </c>
      <c r="N62" s="4">
        <v>89.99</v>
      </c>
    </row>
    <row r="63" spans="1:14" ht="15" customHeight="1" x14ac:dyDescent="0.3">
      <c r="A63" s="5" t="s">
        <v>280</v>
      </c>
      <c r="B63" s="5" t="s">
        <v>281</v>
      </c>
      <c r="C63" s="5" t="s">
        <v>84</v>
      </c>
      <c r="D63" s="5" t="s">
        <v>85</v>
      </c>
      <c r="E63" s="5" t="s">
        <v>158</v>
      </c>
      <c r="F63" s="5" t="s">
        <v>159</v>
      </c>
      <c r="G63" s="5" t="s">
        <v>19</v>
      </c>
      <c r="H63" s="5">
        <v>1</v>
      </c>
      <c r="I63" s="6">
        <v>89.99</v>
      </c>
      <c r="J63" s="5" t="s">
        <v>20</v>
      </c>
      <c r="K63" s="5" t="s">
        <v>39</v>
      </c>
      <c r="L63" s="5" t="s">
        <v>40</v>
      </c>
      <c r="M63" s="5" t="s">
        <v>282</v>
      </c>
      <c r="N63" s="6">
        <v>89.99</v>
      </c>
    </row>
    <row r="64" spans="1:14" ht="15" customHeight="1" x14ac:dyDescent="0.3">
      <c r="A64" s="3" t="s">
        <v>283</v>
      </c>
      <c r="B64" s="3" t="s">
        <v>281</v>
      </c>
      <c r="C64" s="3" t="s">
        <v>284</v>
      </c>
      <c r="D64" s="3" t="s">
        <v>285</v>
      </c>
      <c r="E64" s="3" t="s">
        <v>154</v>
      </c>
      <c r="F64" s="3" t="s">
        <v>155</v>
      </c>
      <c r="G64" s="3" t="s">
        <v>37</v>
      </c>
      <c r="H64" s="3">
        <v>5</v>
      </c>
      <c r="I64" s="4">
        <v>79.989999999999995</v>
      </c>
      <c r="J64" s="3" t="s">
        <v>68</v>
      </c>
      <c r="K64" s="3" t="s">
        <v>21</v>
      </c>
      <c r="L64" s="3" t="s">
        <v>22</v>
      </c>
      <c r="M64" s="3" t="s">
        <v>286</v>
      </c>
      <c r="N64" s="4">
        <v>399.95</v>
      </c>
    </row>
    <row r="65" spans="1:14" ht="15" customHeight="1" x14ac:dyDescent="0.3">
      <c r="A65" s="5" t="s">
        <v>287</v>
      </c>
      <c r="B65" s="5" t="s">
        <v>288</v>
      </c>
      <c r="C65" s="5" t="s">
        <v>289</v>
      </c>
      <c r="D65" s="5" t="s">
        <v>290</v>
      </c>
      <c r="E65" s="5" t="s">
        <v>51</v>
      </c>
      <c r="F65" s="5" t="s">
        <v>52</v>
      </c>
      <c r="G65" s="5" t="s">
        <v>53</v>
      </c>
      <c r="H65" s="5">
        <v>1</v>
      </c>
      <c r="I65" s="6">
        <v>149.99</v>
      </c>
      <c r="J65" s="5" t="s">
        <v>38</v>
      </c>
      <c r="K65" s="5" t="s">
        <v>46</v>
      </c>
      <c r="L65" s="5" t="s">
        <v>22</v>
      </c>
      <c r="M65" s="5" t="s">
        <v>291</v>
      </c>
      <c r="N65" s="6">
        <v>149.99</v>
      </c>
    </row>
    <row r="66" spans="1:14" ht="15" customHeight="1" x14ac:dyDescent="0.3">
      <c r="A66" s="3" t="s">
        <v>292</v>
      </c>
      <c r="B66" s="3" t="s">
        <v>288</v>
      </c>
      <c r="C66" s="3" t="s">
        <v>49</v>
      </c>
      <c r="D66" s="3" t="s">
        <v>50</v>
      </c>
      <c r="E66" s="3" t="s">
        <v>101</v>
      </c>
      <c r="F66" s="3" t="s">
        <v>102</v>
      </c>
      <c r="G66" s="3" t="s">
        <v>19</v>
      </c>
      <c r="H66" s="3">
        <v>2</v>
      </c>
      <c r="I66" s="4">
        <v>699.99</v>
      </c>
      <c r="J66" s="3" t="s">
        <v>38</v>
      </c>
      <c r="K66" s="3" t="s">
        <v>76</v>
      </c>
      <c r="L66" s="3" t="s">
        <v>29</v>
      </c>
      <c r="M66" s="3" t="s">
        <v>293</v>
      </c>
      <c r="N66" s="4">
        <v>1399.98</v>
      </c>
    </row>
    <row r="67" spans="1:14" ht="15" customHeight="1" x14ac:dyDescent="0.3">
      <c r="A67" s="5" t="s">
        <v>294</v>
      </c>
      <c r="B67" s="5" t="s">
        <v>288</v>
      </c>
      <c r="C67" s="5" t="s">
        <v>125</v>
      </c>
      <c r="D67" s="5" t="s">
        <v>126</v>
      </c>
      <c r="E67" s="5" t="s">
        <v>158</v>
      </c>
      <c r="F67" s="5" t="s">
        <v>159</v>
      </c>
      <c r="G67" s="5" t="s">
        <v>19</v>
      </c>
      <c r="H67" s="5">
        <v>5</v>
      </c>
      <c r="I67" s="6">
        <v>89.99</v>
      </c>
      <c r="J67" s="5" t="s">
        <v>68</v>
      </c>
      <c r="K67" s="5" t="s">
        <v>46</v>
      </c>
      <c r="L67" s="5" t="s">
        <v>29</v>
      </c>
      <c r="M67" s="5" t="s">
        <v>295</v>
      </c>
      <c r="N67" s="6">
        <v>449.95</v>
      </c>
    </row>
    <row r="68" spans="1:14" ht="15" customHeight="1" x14ac:dyDescent="0.3">
      <c r="A68" s="3" t="s">
        <v>296</v>
      </c>
      <c r="B68" s="3" t="s">
        <v>297</v>
      </c>
      <c r="C68" s="3" t="s">
        <v>258</v>
      </c>
      <c r="D68" s="3" t="s">
        <v>259</v>
      </c>
      <c r="E68" s="3" t="s">
        <v>35</v>
      </c>
      <c r="F68" s="3" t="s">
        <v>36</v>
      </c>
      <c r="G68" s="3" t="s">
        <v>37</v>
      </c>
      <c r="H68" s="3">
        <v>4</v>
      </c>
      <c r="I68" s="4">
        <v>59.99</v>
      </c>
      <c r="J68" s="3" t="s">
        <v>20</v>
      </c>
      <c r="K68" s="3" t="s">
        <v>39</v>
      </c>
      <c r="L68" s="3" t="s">
        <v>40</v>
      </c>
      <c r="M68" s="3" t="s">
        <v>298</v>
      </c>
      <c r="N68" s="4">
        <v>239.96</v>
      </c>
    </row>
    <row r="69" spans="1:14" ht="15" customHeight="1" x14ac:dyDescent="0.3">
      <c r="A69" s="5" t="s">
        <v>299</v>
      </c>
      <c r="B69" s="5" t="s">
        <v>300</v>
      </c>
      <c r="C69" s="5" t="s">
        <v>26</v>
      </c>
      <c r="D69" s="5" t="s">
        <v>27</v>
      </c>
      <c r="E69" s="5" t="s">
        <v>62</v>
      </c>
      <c r="F69" s="5" t="s">
        <v>63</v>
      </c>
      <c r="G69" s="5" t="s">
        <v>19</v>
      </c>
      <c r="H69" s="5">
        <v>1</v>
      </c>
      <c r="I69" s="6">
        <v>149.99</v>
      </c>
      <c r="J69" s="5" t="s">
        <v>20</v>
      </c>
      <c r="K69" s="5" t="s">
        <v>21</v>
      </c>
      <c r="L69" s="5" t="s">
        <v>40</v>
      </c>
      <c r="M69" s="5" t="s">
        <v>301</v>
      </c>
      <c r="N69" s="6">
        <v>149.99</v>
      </c>
    </row>
    <row r="70" spans="1:14" ht="15" customHeight="1" x14ac:dyDescent="0.3">
      <c r="A70" s="3" t="s">
        <v>302</v>
      </c>
      <c r="B70" s="3" t="s">
        <v>300</v>
      </c>
      <c r="C70" s="3" t="s">
        <v>303</v>
      </c>
      <c r="D70" s="3" t="s">
        <v>304</v>
      </c>
      <c r="E70" s="3" t="s">
        <v>140</v>
      </c>
      <c r="F70" s="3" t="s">
        <v>141</v>
      </c>
      <c r="G70" s="3" t="s">
        <v>53</v>
      </c>
      <c r="H70" s="3">
        <v>1</v>
      </c>
      <c r="I70" s="4">
        <v>299.99</v>
      </c>
      <c r="J70" s="3" t="s">
        <v>28</v>
      </c>
      <c r="K70" s="3" t="s">
        <v>46</v>
      </c>
      <c r="L70" s="3" t="s">
        <v>29</v>
      </c>
      <c r="M70" s="3" t="s">
        <v>305</v>
      </c>
      <c r="N70" s="4">
        <v>299.99</v>
      </c>
    </row>
    <row r="71" spans="1:14" ht="15" customHeight="1" x14ac:dyDescent="0.3">
      <c r="A71" s="5" t="s">
        <v>306</v>
      </c>
      <c r="B71" s="5" t="s">
        <v>307</v>
      </c>
      <c r="C71" s="5" t="s">
        <v>303</v>
      </c>
      <c r="D71" s="5" t="s">
        <v>304</v>
      </c>
      <c r="E71" s="5" t="s">
        <v>172</v>
      </c>
      <c r="F71" s="5" t="s">
        <v>173</v>
      </c>
      <c r="G71" s="5" t="s">
        <v>53</v>
      </c>
      <c r="H71" s="5">
        <v>2</v>
      </c>
      <c r="I71" s="6">
        <v>199.99</v>
      </c>
      <c r="J71" s="5" t="s">
        <v>20</v>
      </c>
      <c r="K71" s="5" t="s">
        <v>46</v>
      </c>
      <c r="L71" s="5" t="s">
        <v>22</v>
      </c>
      <c r="M71" s="5" t="s">
        <v>308</v>
      </c>
      <c r="N71" s="6">
        <v>399.98</v>
      </c>
    </row>
    <row r="72" spans="1:14" ht="15" customHeight="1" x14ac:dyDescent="0.3">
      <c r="A72" s="3" t="s">
        <v>309</v>
      </c>
      <c r="B72" s="3" t="s">
        <v>310</v>
      </c>
      <c r="C72" s="3" t="s">
        <v>311</v>
      </c>
      <c r="D72" s="3" t="s">
        <v>312</v>
      </c>
      <c r="E72" s="3" t="s">
        <v>35</v>
      </c>
      <c r="F72" s="3" t="s">
        <v>36</v>
      </c>
      <c r="G72" s="3" t="s">
        <v>37</v>
      </c>
      <c r="H72" s="3">
        <v>3</v>
      </c>
      <c r="I72" s="4">
        <v>59.99</v>
      </c>
      <c r="J72" s="3" t="s">
        <v>28</v>
      </c>
      <c r="K72" s="3" t="s">
        <v>59</v>
      </c>
      <c r="L72" s="3" t="s">
        <v>22</v>
      </c>
      <c r="M72" s="3" t="s">
        <v>313</v>
      </c>
      <c r="N72" s="4">
        <v>179.97</v>
      </c>
    </row>
    <row r="73" spans="1:14" ht="15" customHeight="1" x14ac:dyDescent="0.3">
      <c r="A73" s="5" t="s">
        <v>314</v>
      </c>
      <c r="B73" s="5" t="s">
        <v>310</v>
      </c>
      <c r="C73" s="5" t="s">
        <v>90</v>
      </c>
      <c r="D73" s="5" t="s">
        <v>91</v>
      </c>
      <c r="E73" s="5" t="s">
        <v>51</v>
      </c>
      <c r="F73" s="5" t="s">
        <v>52</v>
      </c>
      <c r="G73" s="5" t="s">
        <v>53</v>
      </c>
      <c r="H73" s="5">
        <v>3</v>
      </c>
      <c r="I73" s="6">
        <v>149.99</v>
      </c>
      <c r="J73" s="5" t="s">
        <v>20</v>
      </c>
      <c r="K73" s="5" t="s">
        <v>21</v>
      </c>
      <c r="L73" s="5" t="s">
        <v>29</v>
      </c>
      <c r="M73" s="5" t="s">
        <v>315</v>
      </c>
      <c r="N73" s="6">
        <v>449.97</v>
      </c>
    </row>
    <row r="74" spans="1:14" ht="15" customHeight="1" x14ac:dyDescent="0.3">
      <c r="A74" s="3" t="s">
        <v>316</v>
      </c>
      <c r="B74" s="3" t="s">
        <v>317</v>
      </c>
      <c r="C74" s="3" t="s">
        <v>80</v>
      </c>
      <c r="D74" s="3" t="s">
        <v>81</v>
      </c>
      <c r="E74" s="3" t="s">
        <v>172</v>
      </c>
      <c r="F74" s="3" t="s">
        <v>173</v>
      </c>
      <c r="G74" s="3" t="s">
        <v>53</v>
      </c>
      <c r="H74" s="3">
        <v>3</v>
      </c>
      <c r="I74" s="4">
        <v>199.99</v>
      </c>
      <c r="J74" s="3" t="s">
        <v>20</v>
      </c>
      <c r="K74" s="3" t="s">
        <v>46</v>
      </c>
      <c r="L74" s="3" t="s">
        <v>29</v>
      </c>
      <c r="M74" s="3" t="s">
        <v>318</v>
      </c>
      <c r="N74" s="4">
        <v>599.97</v>
      </c>
    </row>
    <row r="75" spans="1:14" ht="15" customHeight="1" x14ac:dyDescent="0.3">
      <c r="A75" s="5" t="s">
        <v>319</v>
      </c>
      <c r="B75" s="5" t="s">
        <v>320</v>
      </c>
      <c r="C75" s="5" t="s">
        <v>216</v>
      </c>
      <c r="D75" s="5" t="s">
        <v>217</v>
      </c>
      <c r="E75" s="5" t="s">
        <v>74</v>
      </c>
      <c r="F75" s="5" t="s">
        <v>75</v>
      </c>
      <c r="G75" s="5" t="s">
        <v>19</v>
      </c>
      <c r="H75" s="5">
        <v>1</v>
      </c>
      <c r="I75" s="6">
        <v>899.99</v>
      </c>
      <c r="J75" s="5" t="s">
        <v>20</v>
      </c>
      <c r="K75" s="5" t="s">
        <v>21</v>
      </c>
      <c r="L75" s="5" t="s">
        <v>40</v>
      </c>
      <c r="M75" s="5" t="s">
        <v>321</v>
      </c>
      <c r="N75" s="6">
        <v>899.99</v>
      </c>
    </row>
    <row r="76" spans="1:14" ht="15" customHeight="1" x14ac:dyDescent="0.3">
      <c r="A76" s="3" t="s">
        <v>322</v>
      </c>
      <c r="B76" s="3" t="s">
        <v>323</v>
      </c>
      <c r="C76" s="3" t="s">
        <v>26</v>
      </c>
      <c r="D76" s="3" t="s">
        <v>27</v>
      </c>
      <c r="E76" s="3" t="s">
        <v>74</v>
      </c>
      <c r="F76" s="3" t="s">
        <v>75</v>
      </c>
      <c r="G76" s="3" t="s">
        <v>19</v>
      </c>
      <c r="H76" s="3">
        <v>5</v>
      </c>
      <c r="I76" s="4">
        <v>899.99</v>
      </c>
      <c r="J76" s="3" t="s">
        <v>68</v>
      </c>
      <c r="K76" s="3" t="s">
        <v>39</v>
      </c>
      <c r="L76" s="3" t="s">
        <v>40</v>
      </c>
      <c r="M76" s="3" t="s">
        <v>324</v>
      </c>
      <c r="N76" s="4">
        <v>4499.95</v>
      </c>
    </row>
    <row r="77" spans="1:14" ht="15" customHeight="1" x14ac:dyDescent="0.3">
      <c r="A77" s="5" t="s">
        <v>325</v>
      </c>
      <c r="B77" s="5" t="s">
        <v>326</v>
      </c>
      <c r="C77" s="5" t="s">
        <v>284</v>
      </c>
      <c r="D77" s="5" t="s">
        <v>285</v>
      </c>
      <c r="E77" s="5" t="s">
        <v>35</v>
      </c>
      <c r="F77" s="5" t="s">
        <v>36</v>
      </c>
      <c r="G77" s="5" t="s">
        <v>37</v>
      </c>
      <c r="H77" s="5">
        <v>2</v>
      </c>
      <c r="I77" s="6">
        <v>59.99</v>
      </c>
      <c r="J77" s="5" t="s">
        <v>20</v>
      </c>
      <c r="K77" s="5" t="s">
        <v>46</v>
      </c>
      <c r="L77" s="5" t="s">
        <v>40</v>
      </c>
      <c r="M77" s="5" t="s">
        <v>327</v>
      </c>
      <c r="N77" s="6">
        <v>119.98</v>
      </c>
    </row>
    <row r="78" spans="1:14" ht="15" customHeight="1" x14ac:dyDescent="0.3">
      <c r="A78" s="3" t="s">
        <v>328</v>
      </c>
      <c r="B78" s="3" t="s">
        <v>326</v>
      </c>
      <c r="C78" s="3" t="s">
        <v>311</v>
      </c>
      <c r="D78" s="3" t="s">
        <v>312</v>
      </c>
      <c r="E78" s="3" t="s">
        <v>17</v>
      </c>
      <c r="F78" s="3" t="s">
        <v>18</v>
      </c>
      <c r="G78" s="3" t="s">
        <v>19</v>
      </c>
      <c r="H78" s="3">
        <v>4</v>
      </c>
      <c r="I78" s="4">
        <v>249.99</v>
      </c>
      <c r="J78" s="3" t="s">
        <v>68</v>
      </c>
      <c r="K78" s="3" t="s">
        <v>21</v>
      </c>
      <c r="L78" s="3" t="s">
        <v>40</v>
      </c>
      <c r="M78" s="3" t="s">
        <v>329</v>
      </c>
      <c r="N78" s="4">
        <v>999.96</v>
      </c>
    </row>
    <row r="79" spans="1:14" ht="15" customHeight="1" x14ac:dyDescent="0.3">
      <c r="A79" s="5" t="s">
        <v>330</v>
      </c>
      <c r="B79" s="5" t="s">
        <v>331</v>
      </c>
      <c r="C79" s="5" t="s">
        <v>125</v>
      </c>
      <c r="D79" s="5" t="s">
        <v>126</v>
      </c>
      <c r="E79" s="5" t="s">
        <v>17</v>
      </c>
      <c r="F79" s="5" t="s">
        <v>18</v>
      </c>
      <c r="G79" s="5" t="s">
        <v>19</v>
      </c>
      <c r="H79" s="5">
        <v>2</v>
      </c>
      <c r="I79" s="6">
        <v>249.99</v>
      </c>
      <c r="J79" s="5" t="s">
        <v>20</v>
      </c>
      <c r="K79" s="5" t="s">
        <v>46</v>
      </c>
      <c r="L79" s="5" t="s">
        <v>29</v>
      </c>
      <c r="M79" s="5" t="s">
        <v>332</v>
      </c>
      <c r="N79" s="6">
        <v>499.98</v>
      </c>
    </row>
    <row r="80" spans="1:14" ht="15" customHeight="1" x14ac:dyDescent="0.3">
      <c r="A80" s="3" t="s">
        <v>333</v>
      </c>
      <c r="B80" s="3" t="s">
        <v>331</v>
      </c>
      <c r="C80" s="3" t="s">
        <v>211</v>
      </c>
      <c r="D80" s="3" t="s">
        <v>212</v>
      </c>
      <c r="E80" s="3" t="s">
        <v>140</v>
      </c>
      <c r="F80" s="3" t="s">
        <v>141</v>
      </c>
      <c r="G80" s="3" t="s">
        <v>53</v>
      </c>
      <c r="H80" s="3">
        <v>1</v>
      </c>
      <c r="I80" s="4">
        <v>299.99</v>
      </c>
      <c r="J80" s="3" t="s">
        <v>20</v>
      </c>
      <c r="K80" s="3" t="s">
        <v>39</v>
      </c>
      <c r="L80" s="3" t="s">
        <v>22</v>
      </c>
      <c r="M80" s="3" t="s">
        <v>334</v>
      </c>
      <c r="N80" s="4">
        <v>299.99</v>
      </c>
    </row>
    <row r="81" spans="1:14" ht="15" customHeight="1" x14ac:dyDescent="0.3">
      <c r="A81" s="5" t="s">
        <v>335</v>
      </c>
      <c r="B81" s="5" t="s">
        <v>336</v>
      </c>
      <c r="C81" s="5" t="s">
        <v>110</v>
      </c>
      <c r="D81" s="5" t="s">
        <v>111</v>
      </c>
      <c r="E81" s="5" t="s">
        <v>158</v>
      </c>
      <c r="F81" s="5" t="s">
        <v>159</v>
      </c>
      <c r="G81" s="5" t="s">
        <v>19</v>
      </c>
      <c r="H81" s="5">
        <v>2</v>
      </c>
      <c r="I81" s="6">
        <v>89.99</v>
      </c>
      <c r="J81" s="5" t="s">
        <v>38</v>
      </c>
      <c r="K81" s="5" t="s">
        <v>39</v>
      </c>
      <c r="L81" s="5" t="s">
        <v>22</v>
      </c>
      <c r="M81" s="5" t="s">
        <v>337</v>
      </c>
      <c r="N81" s="6">
        <v>179.98</v>
      </c>
    </row>
    <row r="82" spans="1:14" ht="15" customHeight="1" x14ac:dyDescent="0.3">
      <c r="A82" s="3" t="s">
        <v>338</v>
      </c>
      <c r="B82" s="3" t="s">
        <v>336</v>
      </c>
      <c r="C82" s="3" t="s">
        <v>211</v>
      </c>
      <c r="D82" s="3" t="s">
        <v>212</v>
      </c>
      <c r="E82" s="3" t="s">
        <v>140</v>
      </c>
      <c r="F82" s="3" t="s">
        <v>141</v>
      </c>
      <c r="G82" s="3" t="s">
        <v>53</v>
      </c>
      <c r="H82" s="3">
        <v>3</v>
      </c>
      <c r="I82" s="4">
        <v>299.99</v>
      </c>
      <c r="J82" s="3" t="s">
        <v>20</v>
      </c>
      <c r="K82" s="3" t="s">
        <v>21</v>
      </c>
      <c r="L82" s="3" t="s">
        <v>22</v>
      </c>
      <c r="M82" s="3" t="s">
        <v>339</v>
      </c>
      <c r="N82" s="4">
        <v>899.97</v>
      </c>
    </row>
    <row r="83" spans="1:14" ht="15" customHeight="1" x14ac:dyDescent="0.3">
      <c r="A83" s="5" t="s">
        <v>340</v>
      </c>
      <c r="B83" s="5" t="s">
        <v>341</v>
      </c>
      <c r="C83" s="5" t="s">
        <v>110</v>
      </c>
      <c r="D83" s="5" t="s">
        <v>111</v>
      </c>
      <c r="E83" s="5" t="s">
        <v>101</v>
      </c>
      <c r="F83" s="5" t="s">
        <v>102</v>
      </c>
      <c r="G83" s="5" t="s">
        <v>19</v>
      </c>
      <c r="H83" s="5">
        <v>2</v>
      </c>
      <c r="I83" s="6">
        <v>699.99</v>
      </c>
      <c r="J83" s="5" t="s">
        <v>28</v>
      </c>
      <c r="K83" s="5" t="s">
        <v>46</v>
      </c>
      <c r="L83" s="5" t="s">
        <v>29</v>
      </c>
      <c r="M83" s="5" t="s">
        <v>342</v>
      </c>
      <c r="N83" s="6">
        <v>1399.98</v>
      </c>
    </row>
    <row r="84" spans="1:14" ht="15" customHeight="1" x14ac:dyDescent="0.3">
      <c r="A84" s="3" t="s">
        <v>343</v>
      </c>
      <c r="B84" s="3" t="s">
        <v>344</v>
      </c>
      <c r="C84" s="3" t="s">
        <v>163</v>
      </c>
      <c r="D84" s="3" t="s">
        <v>164</v>
      </c>
      <c r="E84" s="3" t="s">
        <v>74</v>
      </c>
      <c r="F84" s="3" t="s">
        <v>75</v>
      </c>
      <c r="G84" s="3" t="s">
        <v>19</v>
      </c>
      <c r="H84" s="3">
        <v>4</v>
      </c>
      <c r="I84" s="4">
        <v>899.99</v>
      </c>
      <c r="J84" s="3" t="s">
        <v>68</v>
      </c>
      <c r="K84" s="3" t="s">
        <v>39</v>
      </c>
      <c r="L84" s="3" t="s">
        <v>40</v>
      </c>
      <c r="M84" s="3" t="s">
        <v>345</v>
      </c>
      <c r="N84" s="4">
        <v>3599.96</v>
      </c>
    </row>
    <row r="85" spans="1:14" ht="15" customHeight="1" x14ac:dyDescent="0.3">
      <c r="A85" s="5" t="s">
        <v>346</v>
      </c>
      <c r="B85" s="5" t="s">
        <v>347</v>
      </c>
      <c r="C85" s="5" t="s">
        <v>348</v>
      </c>
      <c r="D85" s="5" t="s">
        <v>349</v>
      </c>
      <c r="E85" s="5" t="s">
        <v>51</v>
      </c>
      <c r="F85" s="5" t="s">
        <v>52</v>
      </c>
      <c r="G85" s="5" t="s">
        <v>53</v>
      </c>
      <c r="H85" s="5">
        <v>2</v>
      </c>
      <c r="I85" s="6">
        <v>149.99</v>
      </c>
      <c r="J85" s="5" t="s">
        <v>28</v>
      </c>
      <c r="K85" s="5" t="s">
        <v>59</v>
      </c>
      <c r="L85" s="5" t="s">
        <v>22</v>
      </c>
      <c r="M85" s="5" t="s">
        <v>350</v>
      </c>
      <c r="N85" s="6">
        <v>299.98</v>
      </c>
    </row>
    <row r="86" spans="1:14" ht="15" customHeight="1" x14ac:dyDescent="0.3">
      <c r="A86" s="3" t="s">
        <v>351</v>
      </c>
      <c r="B86" s="3" t="s">
        <v>352</v>
      </c>
      <c r="C86" s="3" t="s">
        <v>135</v>
      </c>
      <c r="D86" s="3" t="s">
        <v>136</v>
      </c>
      <c r="E86" s="3" t="s">
        <v>51</v>
      </c>
      <c r="F86" s="3" t="s">
        <v>52</v>
      </c>
      <c r="G86" s="3" t="s">
        <v>53</v>
      </c>
      <c r="H86" s="3">
        <v>2</v>
      </c>
      <c r="I86" s="4">
        <v>149.99</v>
      </c>
      <c r="J86" s="3" t="s">
        <v>68</v>
      </c>
      <c r="K86" s="3" t="s">
        <v>76</v>
      </c>
      <c r="L86" s="3" t="s">
        <v>40</v>
      </c>
      <c r="M86" s="3" t="s">
        <v>353</v>
      </c>
      <c r="N86" s="4">
        <v>299.98</v>
      </c>
    </row>
    <row r="87" spans="1:14" ht="15" customHeight="1" x14ac:dyDescent="0.3">
      <c r="A87" s="5" t="s">
        <v>354</v>
      </c>
      <c r="B87" s="5" t="s">
        <v>355</v>
      </c>
      <c r="C87" s="5" t="s">
        <v>114</v>
      </c>
      <c r="D87" s="5" t="s">
        <v>115</v>
      </c>
      <c r="E87" s="5" t="s">
        <v>158</v>
      </c>
      <c r="F87" s="5" t="s">
        <v>159</v>
      </c>
      <c r="G87" s="5" t="s">
        <v>19</v>
      </c>
      <c r="H87" s="5">
        <v>1</v>
      </c>
      <c r="I87" s="6">
        <v>89.99</v>
      </c>
      <c r="J87" s="5" t="s">
        <v>28</v>
      </c>
      <c r="K87" s="5" t="s">
        <v>46</v>
      </c>
      <c r="L87" s="5" t="s">
        <v>40</v>
      </c>
      <c r="M87" s="5" t="s">
        <v>14</v>
      </c>
      <c r="N87" s="6">
        <v>89.99</v>
      </c>
    </row>
    <row r="88" spans="1:14" ht="15" customHeight="1" x14ac:dyDescent="0.3">
      <c r="A88" s="3" t="s">
        <v>356</v>
      </c>
      <c r="B88" s="3" t="s">
        <v>357</v>
      </c>
      <c r="C88" s="3" t="s">
        <v>110</v>
      </c>
      <c r="D88" s="3" t="s">
        <v>111</v>
      </c>
      <c r="E88" s="3" t="s">
        <v>140</v>
      </c>
      <c r="F88" s="3" t="s">
        <v>141</v>
      </c>
      <c r="G88" s="3" t="s">
        <v>53</v>
      </c>
      <c r="H88" s="3">
        <v>5</v>
      </c>
      <c r="I88" s="4">
        <v>299.99</v>
      </c>
      <c r="J88" s="3" t="s">
        <v>28</v>
      </c>
      <c r="K88" s="3" t="s">
        <v>46</v>
      </c>
      <c r="L88" s="3" t="s">
        <v>22</v>
      </c>
      <c r="M88" s="3" t="s">
        <v>358</v>
      </c>
      <c r="N88" s="4">
        <v>1499.95</v>
      </c>
    </row>
    <row r="89" spans="1:14" ht="15" customHeight="1" x14ac:dyDescent="0.3">
      <c r="A89" s="5" t="s">
        <v>359</v>
      </c>
      <c r="B89" s="5" t="s">
        <v>360</v>
      </c>
      <c r="C89" s="5" t="s">
        <v>284</v>
      </c>
      <c r="D89" s="5" t="s">
        <v>285</v>
      </c>
      <c r="E89" s="5" t="s">
        <v>62</v>
      </c>
      <c r="F89" s="5" t="s">
        <v>63</v>
      </c>
      <c r="G89" s="5" t="s">
        <v>19</v>
      </c>
      <c r="H89" s="5">
        <v>4</v>
      </c>
      <c r="I89" s="6">
        <v>149.99</v>
      </c>
      <c r="J89" s="5" t="s">
        <v>68</v>
      </c>
      <c r="K89" s="5" t="s">
        <v>39</v>
      </c>
      <c r="L89" s="5" t="s">
        <v>29</v>
      </c>
      <c r="M89" s="5" t="s">
        <v>361</v>
      </c>
      <c r="N89" s="6">
        <v>599.96</v>
      </c>
    </row>
    <row r="90" spans="1:14" ht="15" customHeight="1" x14ac:dyDescent="0.3">
      <c r="A90" s="3" t="s">
        <v>362</v>
      </c>
      <c r="B90" s="3" t="s">
        <v>360</v>
      </c>
      <c r="C90" s="3" t="s">
        <v>289</v>
      </c>
      <c r="D90" s="3" t="s">
        <v>290</v>
      </c>
      <c r="E90" s="3" t="s">
        <v>17</v>
      </c>
      <c r="F90" s="3" t="s">
        <v>18</v>
      </c>
      <c r="G90" s="3" t="s">
        <v>19</v>
      </c>
      <c r="H90" s="3">
        <v>5</v>
      </c>
      <c r="I90" s="4">
        <v>249.99</v>
      </c>
      <c r="J90" s="3" t="s">
        <v>38</v>
      </c>
      <c r="K90" s="3" t="s">
        <v>76</v>
      </c>
      <c r="L90" s="3" t="s">
        <v>29</v>
      </c>
      <c r="M90" s="3" t="s">
        <v>363</v>
      </c>
      <c r="N90" s="4">
        <v>1249.95</v>
      </c>
    </row>
    <row r="91" spans="1:14" ht="15" customHeight="1" x14ac:dyDescent="0.3">
      <c r="A91" s="5" t="s">
        <v>364</v>
      </c>
      <c r="B91" s="5" t="s">
        <v>360</v>
      </c>
      <c r="C91" s="5" t="s">
        <v>80</v>
      </c>
      <c r="D91" s="5" t="s">
        <v>81</v>
      </c>
      <c r="E91" s="5" t="s">
        <v>17</v>
      </c>
      <c r="F91" s="5" t="s">
        <v>18</v>
      </c>
      <c r="G91" s="5" t="s">
        <v>19</v>
      </c>
      <c r="H91" s="5">
        <v>3</v>
      </c>
      <c r="I91" s="6">
        <v>249.99</v>
      </c>
      <c r="J91" s="5" t="s">
        <v>38</v>
      </c>
      <c r="K91" s="5" t="s">
        <v>46</v>
      </c>
      <c r="L91" s="5" t="s">
        <v>29</v>
      </c>
      <c r="M91" s="5" t="s">
        <v>365</v>
      </c>
      <c r="N91" s="6">
        <v>749.97</v>
      </c>
    </row>
    <row r="92" spans="1:14" ht="15" customHeight="1" x14ac:dyDescent="0.3">
      <c r="A92" s="3" t="s">
        <v>366</v>
      </c>
      <c r="B92" s="3" t="s">
        <v>360</v>
      </c>
      <c r="C92" s="3" t="s">
        <v>44</v>
      </c>
      <c r="D92" s="3" t="s">
        <v>45</v>
      </c>
      <c r="E92" s="3" t="s">
        <v>172</v>
      </c>
      <c r="F92" s="3" t="s">
        <v>173</v>
      </c>
      <c r="G92" s="3" t="s">
        <v>53</v>
      </c>
      <c r="H92" s="3">
        <v>4</v>
      </c>
      <c r="I92" s="4">
        <v>199.99</v>
      </c>
      <c r="J92" s="3" t="s">
        <v>20</v>
      </c>
      <c r="K92" s="3" t="s">
        <v>46</v>
      </c>
      <c r="L92" s="3" t="s">
        <v>40</v>
      </c>
      <c r="M92" s="3" t="s">
        <v>367</v>
      </c>
      <c r="N92" s="4">
        <v>799.96</v>
      </c>
    </row>
    <row r="93" spans="1:14" ht="15" customHeight="1" x14ac:dyDescent="0.3">
      <c r="A93" s="5" t="s">
        <v>368</v>
      </c>
      <c r="B93" s="5" t="s">
        <v>369</v>
      </c>
      <c r="C93" s="5" t="s">
        <v>230</v>
      </c>
      <c r="D93" s="5" t="s">
        <v>231</v>
      </c>
      <c r="E93" s="5" t="s">
        <v>172</v>
      </c>
      <c r="F93" s="5" t="s">
        <v>173</v>
      </c>
      <c r="G93" s="5" t="s">
        <v>53</v>
      </c>
      <c r="H93" s="5">
        <v>5</v>
      </c>
      <c r="I93" s="6">
        <v>199.99</v>
      </c>
      <c r="J93" s="5" t="s">
        <v>20</v>
      </c>
      <c r="K93" s="5" t="s">
        <v>46</v>
      </c>
      <c r="L93" s="5" t="s">
        <v>29</v>
      </c>
      <c r="M93" s="5" t="s">
        <v>370</v>
      </c>
      <c r="N93" s="6">
        <v>999.95</v>
      </c>
    </row>
    <row r="94" spans="1:14" ht="15" customHeight="1" x14ac:dyDescent="0.3">
      <c r="A94" s="3" t="s">
        <v>371</v>
      </c>
      <c r="B94" s="3" t="s">
        <v>372</v>
      </c>
      <c r="C94" s="3" t="s">
        <v>110</v>
      </c>
      <c r="D94" s="3" t="s">
        <v>111</v>
      </c>
      <c r="E94" s="3" t="s">
        <v>158</v>
      </c>
      <c r="F94" s="3" t="s">
        <v>159</v>
      </c>
      <c r="G94" s="3" t="s">
        <v>19</v>
      </c>
      <c r="H94" s="3">
        <v>2</v>
      </c>
      <c r="I94" s="4">
        <v>89.99</v>
      </c>
      <c r="J94" s="3" t="s">
        <v>20</v>
      </c>
      <c r="K94" s="3" t="s">
        <v>76</v>
      </c>
      <c r="L94" s="3" t="s">
        <v>29</v>
      </c>
      <c r="M94" s="3" t="s">
        <v>373</v>
      </c>
      <c r="N94" s="4">
        <v>179.98</v>
      </c>
    </row>
    <row r="95" spans="1:14" ht="15" customHeight="1" x14ac:dyDescent="0.3">
      <c r="A95" s="5" t="s">
        <v>374</v>
      </c>
      <c r="B95" s="5" t="s">
        <v>375</v>
      </c>
      <c r="C95" s="5" t="s">
        <v>311</v>
      </c>
      <c r="D95" s="5" t="s">
        <v>312</v>
      </c>
      <c r="E95" s="5" t="s">
        <v>74</v>
      </c>
      <c r="F95" s="5" t="s">
        <v>75</v>
      </c>
      <c r="G95" s="5" t="s">
        <v>19</v>
      </c>
      <c r="H95" s="5">
        <v>5</v>
      </c>
      <c r="I95" s="6">
        <v>899.99</v>
      </c>
      <c r="J95" s="5" t="s">
        <v>68</v>
      </c>
      <c r="K95" s="5" t="s">
        <v>76</v>
      </c>
      <c r="L95" s="5" t="s">
        <v>22</v>
      </c>
      <c r="M95" s="5" t="s">
        <v>376</v>
      </c>
      <c r="N95" s="6">
        <v>4499.95</v>
      </c>
    </row>
    <row r="96" spans="1:14" ht="15" customHeight="1" x14ac:dyDescent="0.3">
      <c r="A96" s="3" t="s">
        <v>377</v>
      </c>
      <c r="B96" s="3" t="s">
        <v>375</v>
      </c>
      <c r="C96" s="3" t="s">
        <v>145</v>
      </c>
      <c r="D96" s="3" t="s">
        <v>146</v>
      </c>
      <c r="E96" s="3" t="s">
        <v>62</v>
      </c>
      <c r="F96" s="3" t="s">
        <v>63</v>
      </c>
      <c r="G96" s="3" t="s">
        <v>19</v>
      </c>
      <c r="H96" s="3">
        <v>3</v>
      </c>
      <c r="I96" s="4">
        <v>149.99</v>
      </c>
      <c r="J96" s="3" t="s">
        <v>38</v>
      </c>
      <c r="K96" s="3" t="s">
        <v>76</v>
      </c>
      <c r="L96" s="3" t="s">
        <v>22</v>
      </c>
      <c r="M96" s="3" t="s">
        <v>378</v>
      </c>
      <c r="N96" s="4">
        <v>449.97</v>
      </c>
    </row>
    <row r="97" spans="1:14" ht="15" customHeight="1" x14ac:dyDescent="0.3">
      <c r="A97" s="5" t="s">
        <v>379</v>
      </c>
      <c r="B97" s="5" t="s">
        <v>380</v>
      </c>
      <c r="C97" s="5" t="s">
        <v>135</v>
      </c>
      <c r="D97" s="5" t="s">
        <v>136</v>
      </c>
      <c r="E97" s="5" t="s">
        <v>51</v>
      </c>
      <c r="F97" s="5" t="s">
        <v>52</v>
      </c>
      <c r="G97" s="5" t="s">
        <v>53</v>
      </c>
      <c r="H97" s="5">
        <v>5</v>
      </c>
      <c r="I97" s="6">
        <v>149.99</v>
      </c>
      <c r="J97" s="5" t="s">
        <v>28</v>
      </c>
      <c r="K97" s="5" t="s">
        <v>21</v>
      </c>
      <c r="L97" s="5" t="s">
        <v>22</v>
      </c>
      <c r="M97" s="5" t="s">
        <v>381</v>
      </c>
      <c r="N97" s="6">
        <v>749.95</v>
      </c>
    </row>
    <row r="98" spans="1:14" ht="15" customHeight="1" x14ac:dyDescent="0.3">
      <c r="A98" s="3" t="s">
        <v>382</v>
      </c>
      <c r="B98" s="3" t="s">
        <v>383</v>
      </c>
      <c r="C98" s="3" t="s">
        <v>384</v>
      </c>
      <c r="D98" s="3" t="s">
        <v>385</v>
      </c>
      <c r="E98" s="3" t="s">
        <v>154</v>
      </c>
      <c r="F98" s="3" t="s">
        <v>155</v>
      </c>
      <c r="G98" s="3" t="s">
        <v>37</v>
      </c>
      <c r="H98" s="3">
        <v>3</v>
      </c>
      <c r="I98" s="4">
        <v>79.989999999999995</v>
      </c>
      <c r="J98" s="3" t="s">
        <v>20</v>
      </c>
      <c r="K98" s="3" t="s">
        <v>21</v>
      </c>
      <c r="L98" s="3" t="s">
        <v>29</v>
      </c>
      <c r="M98" s="3" t="s">
        <v>386</v>
      </c>
      <c r="N98" s="4">
        <v>239.97</v>
      </c>
    </row>
    <row r="99" spans="1:14" ht="15" customHeight="1" x14ac:dyDescent="0.3">
      <c r="A99" s="5" t="s">
        <v>387</v>
      </c>
      <c r="B99" s="5" t="s">
        <v>383</v>
      </c>
      <c r="C99" s="5" t="s">
        <v>206</v>
      </c>
      <c r="D99" s="5" t="s">
        <v>207</v>
      </c>
      <c r="E99" s="5" t="s">
        <v>17</v>
      </c>
      <c r="F99" s="5" t="s">
        <v>18</v>
      </c>
      <c r="G99" s="5" t="s">
        <v>19</v>
      </c>
      <c r="H99" s="5">
        <v>2</v>
      </c>
      <c r="I99" s="6">
        <v>249.99</v>
      </c>
      <c r="J99" s="5" t="s">
        <v>20</v>
      </c>
      <c r="K99" s="5" t="s">
        <v>39</v>
      </c>
      <c r="L99" s="5" t="s">
        <v>40</v>
      </c>
      <c r="M99" s="5" t="s">
        <v>388</v>
      </c>
      <c r="N99" s="6">
        <v>499.98</v>
      </c>
    </row>
    <row r="100" spans="1:14" ht="15" customHeight="1" x14ac:dyDescent="0.3">
      <c r="A100" s="3" t="s">
        <v>389</v>
      </c>
      <c r="B100" s="3" t="s">
        <v>390</v>
      </c>
      <c r="C100" s="3" t="s">
        <v>311</v>
      </c>
      <c r="D100" s="3" t="s">
        <v>312</v>
      </c>
      <c r="E100" s="3" t="s">
        <v>101</v>
      </c>
      <c r="F100" s="3" t="s">
        <v>102</v>
      </c>
      <c r="G100" s="3" t="s">
        <v>19</v>
      </c>
      <c r="H100" s="3">
        <v>1</v>
      </c>
      <c r="I100" s="4">
        <v>699.99</v>
      </c>
      <c r="J100" s="3" t="s">
        <v>20</v>
      </c>
      <c r="K100" s="3" t="s">
        <v>21</v>
      </c>
      <c r="L100" s="3" t="s">
        <v>29</v>
      </c>
      <c r="M100" s="3" t="s">
        <v>391</v>
      </c>
      <c r="N100" s="4">
        <v>699.99</v>
      </c>
    </row>
    <row r="101" spans="1:14" ht="15" customHeight="1" x14ac:dyDescent="0.3">
      <c r="A101" s="5" t="s">
        <v>392</v>
      </c>
      <c r="B101" s="5" t="s">
        <v>390</v>
      </c>
      <c r="C101" s="5" t="s">
        <v>393</v>
      </c>
      <c r="D101" s="5" t="s">
        <v>394</v>
      </c>
      <c r="E101" s="5" t="s">
        <v>62</v>
      </c>
      <c r="F101" s="5" t="s">
        <v>63</v>
      </c>
      <c r="G101" s="5" t="s">
        <v>19</v>
      </c>
      <c r="H101" s="5">
        <v>3</v>
      </c>
      <c r="I101" s="6">
        <v>149.99</v>
      </c>
      <c r="J101" s="5" t="s">
        <v>20</v>
      </c>
      <c r="K101" s="5" t="s">
        <v>59</v>
      </c>
      <c r="L101" s="5" t="s">
        <v>29</v>
      </c>
      <c r="M101" s="5" t="s">
        <v>395</v>
      </c>
      <c r="N101" s="6">
        <v>449.97</v>
      </c>
    </row>
    <row r="102" spans="1:14" ht="15" customHeight="1" x14ac:dyDescent="0.3">
      <c r="A102" s="3" t="s">
        <v>396</v>
      </c>
      <c r="B102" s="3" t="s">
        <v>397</v>
      </c>
      <c r="C102" s="3" t="s">
        <v>398</v>
      </c>
      <c r="D102" s="3" t="s">
        <v>399</v>
      </c>
      <c r="E102" s="3" t="s">
        <v>101</v>
      </c>
      <c r="F102" s="3" t="s">
        <v>102</v>
      </c>
      <c r="G102" s="3" t="s">
        <v>19</v>
      </c>
      <c r="H102" s="3">
        <v>2</v>
      </c>
      <c r="I102" s="4">
        <v>699.99</v>
      </c>
      <c r="J102" s="3" t="s">
        <v>28</v>
      </c>
      <c r="K102" s="3" t="s">
        <v>46</v>
      </c>
      <c r="L102" s="3" t="s">
        <v>29</v>
      </c>
      <c r="M102" s="3" t="s">
        <v>291</v>
      </c>
      <c r="N102" s="4">
        <v>1399.98</v>
      </c>
    </row>
    <row r="103" spans="1:14" ht="15" customHeight="1" x14ac:dyDescent="0.3">
      <c r="A103" s="5" t="s">
        <v>400</v>
      </c>
      <c r="B103" s="5" t="s">
        <v>401</v>
      </c>
      <c r="C103" s="5" t="s">
        <v>393</v>
      </c>
      <c r="D103" s="5" t="s">
        <v>394</v>
      </c>
      <c r="E103" s="5" t="s">
        <v>17</v>
      </c>
      <c r="F103" s="5" t="s">
        <v>18</v>
      </c>
      <c r="G103" s="5" t="s">
        <v>19</v>
      </c>
      <c r="H103" s="5">
        <v>1</v>
      </c>
      <c r="I103" s="6">
        <v>249.99</v>
      </c>
      <c r="J103" s="5" t="s">
        <v>28</v>
      </c>
      <c r="K103" s="5" t="s">
        <v>59</v>
      </c>
      <c r="L103" s="5" t="s">
        <v>29</v>
      </c>
      <c r="M103" s="5" t="s">
        <v>402</v>
      </c>
      <c r="N103" s="6">
        <v>249.99</v>
      </c>
    </row>
    <row r="104" spans="1:14" ht="15" customHeight="1" x14ac:dyDescent="0.3">
      <c r="A104" s="3" t="s">
        <v>403</v>
      </c>
      <c r="B104" s="3" t="s">
        <v>401</v>
      </c>
      <c r="C104" s="3" t="s">
        <v>15</v>
      </c>
      <c r="D104" s="3" t="s">
        <v>16</v>
      </c>
      <c r="E104" s="3" t="s">
        <v>17</v>
      </c>
      <c r="F104" s="3" t="s">
        <v>18</v>
      </c>
      <c r="G104" s="3" t="s">
        <v>19</v>
      </c>
      <c r="H104" s="3">
        <v>1</v>
      </c>
      <c r="I104" s="4">
        <v>249.99</v>
      </c>
      <c r="J104" s="3" t="s">
        <v>68</v>
      </c>
      <c r="K104" s="3" t="s">
        <v>46</v>
      </c>
      <c r="L104" s="3" t="s">
        <v>29</v>
      </c>
      <c r="M104" s="3" t="s">
        <v>404</v>
      </c>
      <c r="N104" s="4">
        <v>249.99</v>
      </c>
    </row>
    <row r="105" spans="1:14" ht="15" customHeight="1" x14ac:dyDescent="0.3">
      <c r="A105" s="5" t="s">
        <v>405</v>
      </c>
      <c r="B105" s="5" t="s">
        <v>406</v>
      </c>
      <c r="C105" s="5" t="s">
        <v>384</v>
      </c>
      <c r="D105" s="5" t="s">
        <v>385</v>
      </c>
      <c r="E105" s="5" t="s">
        <v>101</v>
      </c>
      <c r="F105" s="5" t="s">
        <v>102</v>
      </c>
      <c r="G105" s="5" t="s">
        <v>19</v>
      </c>
      <c r="H105" s="5">
        <v>2</v>
      </c>
      <c r="I105" s="6">
        <v>699.99</v>
      </c>
      <c r="J105" s="5" t="s">
        <v>68</v>
      </c>
      <c r="K105" s="5" t="s">
        <v>21</v>
      </c>
      <c r="L105" s="5" t="s">
        <v>29</v>
      </c>
      <c r="M105" s="5" t="s">
        <v>407</v>
      </c>
      <c r="N105" s="6">
        <v>1399.98</v>
      </c>
    </row>
    <row r="106" spans="1:14" ht="15" customHeight="1" x14ac:dyDescent="0.3">
      <c r="A106" s="3" t="s">
        <v>408</v>
      </c>
      <c r="B106" s="3" t="s">
        <v>409</v>
      </c>
      <c r="C106" s="3" t="s">
        <v>196</v>
      </c>
      <c r="D106" s="3" t="s">
        <v>197</v>
      </c>
      <c r="E106" s="3" t="s">
        <v>35</v>
      </c>
      <c r="F106" s="3" t="s">
        <v>36</v>
      </c>
      <c r="G106" s="3" t="s">
        <v>37</v>
      </c>
      <c r="H106" s="3">
        <v>3</v>
      </c>
      <c r="I106" s="4">
        <v>59.99</v>
      </c>
      <c r="J106" s="3" t="s">
        <v>28</v>
      </c>
      <c r="K106" s="3" t="s">
        <v>21</v>
      </c>
      <c r="L106" s="3" t="s">
        <v>29</v>
      </c>
      <c r="M106" s="3" t="s">
        <v>410</v>
      </c>
      <c r="N106" s="4">
        <v>179.97</v>
      </c>
    </row>
    <row r="107" spans="1:14" ht="15" customHeight="1" x14ac:dyDescent="0.3">
      <c r="A107" s="5" t="s">
        <v>411</v>
      </c>
      <c r="B107" s="5" t="s">
        <v>412</v>
      </c>
      <c r="C107" s="5" t="s">
        <v>182</v>
      </c>
      <c r="D107" s="5" t="s">
        <v>183</v>
      </c>
      <c r="E107" s="5" t="s">
        <v>35</v>
      </c>
      <c r="F107" s="5" t="s">
        <v>36</v>
      </c>
      <c r="G107" s="5" t="s">
        <v>37</v>
      </c>
      <c r="H107" s="5">
        <v>3</v>
      </c>
      <c r="I107" s="6">
        <v>59.99</v>
      </c>
      <c r="J107" s="5" t="s">
        <v>38</v>
      </c>
      <c r="K107" s="5" t="s">
        <v>76</v>
      </c>
      <c r="L107" s="5" t="s">
        <v>40</v>
      </c>
      <c r="M107" s="5" t="s">
        <v>413</v>
      </c>
      <c r="N107" s="6">
        <v>179.97</v>
      </c>
    </row>
    <row r="108" spans="1:14" ht="15" customHeight="1" x14ac:dyDescent="0.3">
      <c r="A108" s="3" t="s">
        <v>414</v>
      </c>
      <c r="B108" s="3" t="s">
        <v>412</v>
      </c>
      <c r="C108" s="3" t="s">
        <v>201</v>
      </c>
      <c r="D108" s="3" t="s">
        <v>202</v>
      </c>
      <c r="E108" s="3" t="s">
        <v>154</v>
      </c>
      <c r="F108" s="3" t="s">
        <v>155</v>
      </c>
      <c r="G108" s="3" t="s">
        <v>37</v>
      </c>
      <c r="H108" s="3">
        <v>4</v>
      </c>
      <c r="I108" s="4">
        <v>79.989999999999995</v>
      </c>
      <c r="J108" s="3" t="s">
        <v>20</v>
      </c>
      <c r="K108" s="3" t="s">
        <v>46</v>
      </c>
      <c r="L108" s="3" t="s">
        <v>22</v>
      </c>
      <c r="M108" s="3" t="s">
        <v>415</v>
      </c>
      <c r="N108" s="4">
        <v>319.95999999999998</v>
      </c>
    </row>
    <row r="109" spans="1:14" ht="15" customHeight="1" x14ac:dyDescent="0.3">
      <c r="A109" s="5" t="s">
        <v>416</v>
      </c>
      <c r="B109" s="5" t="s">
        <v>417</v>
      </c>
      <c r="C109" s="5" t="s">
        <v>66</v>
      </c>
      <c r="D109" s="5" t="s">
        <v>67</v>
      </c>
      <c r="E109" s="5" t="s">
        <v>154</v>
      </c>
      <c r="F109" s="5" t="s">
        <v>155</v>
      </c>
      <c r="G109" s="5" t="s">
        <v>37</v>
      </c>
      <c r="H109" s="5">
        <v>1</v>
      </c>
      <c r="I109" s="6">
        <v>79.989999999999995</v>
      </c>
      <c r="J109" s="5" t="s">
        <v>20</v>
      </c>
      <c r="K109" s="5" t="s">
        <v>59</v>
      </c>
      <c r="L109" s="5" t="s">
        <v>22</v>
      </c>
      <c r="M109" s="5" t="s">
        <v>418</v>
      </c>
      <c r="N109" s="6">
        <v>79.989999999999995</v>
      </c>
    </row>
    <row r="110" spans="1:14" ht="15" customHeight="1" x14ac:dyDescent="0.3">
      <c r="A110" s="3" t="s">
        <v>419</v>
      </c>
      <c r="B110" s="3" t="s">
        <v>420</v>
      </c>
      <c r="C110" s="3" t="s">
        <v>57</v>
      </c>
      <c r="D110" s="3" t="s">
        <v>58</v>
      </c>
      <c r="E110" s="3" t="s">
        <v>140</v>
      </c>
      <c r="F110" s="3" t="s">
        <v>141</v>
      </c>
      <c r="G110" s="3" t="s">
        <v>53</v>
      </c>
      <c r="H110" s="3">
        <v>3</v>
      </c>
      <c r="I110" s="4">
        <v>299.99</v>
      </c>
      <c r="J110" s="3" t="s">
        <v>28</v>
      </c>
      <c r="K110" s="3" t="s">
        <v>21</v>
      </c>
      <c r="L110" s="3" t="s">
        <v>29</v>
      </c>
      <c r="M110" s="3" t="s">
        <v>421</v>
      </c>
      <c r="N110" s="4">
        <v>899.97</v>
      </c>
    </row>
    <row r="111" spans="1:14" ht="15" customHeight="1" x14ac:dyDescent="0.3">
      <c r="A111" s="5" t="s">
        <v>422</v>
      </c>
      <c r="B111" s="5" t="s">
        <v>423</v>
      </c>
      <c r="C111" s="5" t="s">
        <v>44</v>
      </c>
      <c r="D111" s="5" t="s">
        <v>45</v>
      </c>
      <c r="E111" s="5" t="s">
        <v>158</v>
      </c>
      <c r="F111" s="5" t="s">
        <v>159</v>
      </c>
      <c r="G111" s="5" t="s">
        <v>19</v>
      </c>
      <c r="H111" s="5">
        <v>2</v>
      </c>
      <c r="I111" s="6">
        <v>89.99</v>
      </c>
      <c r="J111" s="5" t="s">
        <v>28</v>
      </c>
      <c r="K111" s="5" t="s">
        <v>39</v>
      </c>
      <c r="L111" s="5" t="s">
        <v>29</v>
      </c>
      <c r="M111" s="5" t="s">
        <v>424</v>
      </c>
      <c r="N111" s="6">
        <v>179.98</v>
      </c>
    </row>
    <row r="112" spans="1:14" ht="15" customHeight="1" x14ac:dyDescent="0.3">
      <c r="A112" s="3" t="s">
        <v>425</v>
      </c>
      <c r="B112" s="3" t="s">
        <v>426</v>
      </c>
      <c r="C112" s="3" t="s">
        <v>427</v>
      </c>
      <c r="D112" s="3" t="s">
        <v>428</v>
      </c>
      <c r="E112" s="3" t="s">
        <v>62</v>
      </c>
      <c r="F112" s="3" t="s">
        <v>63</v>
      </c>
      <c r="G112" s="3" t="s">
        <v>19</v>
      </c>
      <c r="H112" s="3">
        <v>4</v>
      </c>
      <c r="I112" s="4">
        <v>149.99</v>
      </c>
      <c r="J112" s="3" t="s">
        <v>20</v>
      </c>
      <c r="K112" s="3" t="s">
        <v>46</v>
      </c>
      <c r="L112" s="3" t="s">
        <v>22</v>
      </c>
      <c r="M112" s="3" t="s">
        <v>301</v>
      </c>
      <c r="N112" s="4">
        <v>599.96</v>
      </c>
    </row>
    <row r="113" spans="1:14" ht="15" customHeight="1" x14ac:dyDescent="0.3">
      <c r="A113" s="5" t="s">
        <v>429</v>
      </c>
      <c r="B113" s="5" t="s">
        <v>430</v>
      </c>
      <c r="C113" s="5" t="s">
        <v>80</v>
      </c>
      <c r="D113" s="5" t="s">
        <v>81</v>
      </c>
      <c r="E113" s="5" t="s">
        <v>17</v>
      </c>
      <c r="F113" s="5" t="s">
        <v>18</v>
      </c>
      <c r="G113" s="5" t="s">
        <v>19</v>
      </c>
      <c r="H113" s="5">
        <v>2</v>
      </c>
      <c r="I113" s="6">
        <v>249.99</v>
      </c>
      <c r="J113" s="5" t="s">
        <v>38</v>
      </c>
      <c r="K113" s="5" t="s">
        <v>39</v>
      </c>
      <c r="L113" s="5" t="s">
        <v>22</v>
      </c>
      <c r="M113" s="5" t="s">
        <v>270</v>
      </c>
      <c r="N113" s="6">
        <v>499.98</v>
      </c>
    </row>
    <row r="114" spans="1:14" ht="15" customHeight="1" x14ac:dyDescent="0.3">
      <c r="A114" s="3" t="s">
        <v>431</v>
      </c>
      <c r="B114" s="3" t="s">
        <v>430</v>
      </c>
      <c r="C114" s="3" t="s">
        <v>223</v>
      </c>
      <c r="D114" s="3" t="s">
        <v>224</v>
      </c>
      <c r="E114" s="3" t="s">
        <v>172</v>
      </c>
      <c r="F114" s="3" t="s">
        <v>173</v>
      </c>
      <c r="G114" s="3" t="s">
        <v>53</v>
      </c>
      <c r="H114" s="3">
        <v>4</v>
      </c>
      <c r="I114" s="4">
        <v>199.99</v>
      </c>
      <c r="J114" s="3" t="s">
        <v>68</v>
      </c>
      <c r="K114" s="3" t="s">
        <v>76</v>
      </c>
      <c r="L114" s="3" t="s">
        <v>22</v>
      </c>
      <c r="M114" s="3" t="s">
        <v>367</v>
      </c>
      <c r="N114" s="4">
        <v>799.96</v>
      </c>
    </row>
    <row r="115" spans="1:14" ht="15" customHeight="1" x14ac:dyDescent="0.3">
      <c r="A115" s="5" t="s">
        <v>432</v>
      </c>
      <c r="B115" s="5" t="s">
        <v>433</v>
      </c>
      <c r="C115" s="5" t="s">
        <v>211</v>
      </c>
      <c r="D115" s="5" t="s">
        <v>212</v>
      </c>
      <c r="E115" s="5" t="s">
        <v>158</v>
      </c>
      <c r="F115" s="5" t="s">
        <v>159</v>
      </c>
      <c r="G115" s="5" t="s">
        <v>19</v>
      </c>
      <c r="H115" s="5">
        <v>5</v>
      </c>
      <c r="I115" s="6">
        <v>89.99</v>
      </c>
      <c r="J115" s="5" t="s">
        <v>28</v>
      </c>
      <c r="K115" s="5" t="s">
        <v>76</v>
      </c>
      <c r="L115" s="5" t="s">
        <v>29</v>
      </c>
      <c r="M115" s="5" t="s">
        <v>434</v>
      </c>
      <c r="N115" s="6">
        <v>449.95</v>
      </c>
    </row>
    <row r="116" spans="1:14" ht="15" customHeight="1" x14ac:dyDescent="0.3">
      <c r="A116" s="3" t="s">
        <v>435</v>
      </c>
      <c r="B116" s="3" t="s">
        <v>433</v>
      </c>
      <c r="C116" s="3" t="s">
        <v>436</v>
      </c>
      <c r="D116" s="3" t="s">
        <v>437</v>
      </c>
      <c r="E116" s="3" t="s">
        <v>62</v>
      </c>
      <c r="F116" s="3" t="s">
        <v>63</v>
      </c>
      <c r="G116" s="3" t="s">
        <v>19</v>
      </c>
      <c r="H116" s="3">
        <v>1</v>
      </c>
      <c r="I116" s="4">
        <v>149.99</v>
      </c>
      <c r="J116" s="3" t="s">
        <v>38</v>
      </c>
      <c r="K116" s="3" t="s">
        <v>76</v>
      </c>
      <c r="L116" s="3" t="s">
        <v>40</v>
      </c>
      <c r="M116" s="3" t="s">
        <v>438</v>
      </c>
      <c r="N116" s="4">
        <v>149.99</v>
      </c>
    </row>
    <row r="117" spans="1:14" ht="15" customHeight="1" x14ac:dyDescent="0.3">
      <c r="A117" s="5" t="s">
        <v>439</v>
      </c>
      <c r="B117" s="5" t="s">
        <v>433</v>
      </c>
      <c r="C117" s="5" t="s">
        <v>90</v>
      </c>
      <c r="D117" s="5" t="s">
        <v>91</v>
      </c>
      <c r="E117" s="5" t="s">
        <v>101</v>
      </c>
      <c r="F117" s="5" t="s">
        <v>102</v>
      </c>
      <c r="G117" s="5" t="s">
        <v>19</v>
      </c>
      <c r="H117" s="5">
        <v>4</v>
      </c>
      <c r="I117" s="6">
        <v>699.99</v>
      </c>
      <c r="J117" s="5" t="s">
        <v>38</v>
      </c>
      <c r="K117" s="5" t="s">
        <v>39</v>
      </c>
      <c r="L117" s="5" t="s">
        <v>22</v>
      </c>
      <c r="M117" s="5" t="s">
        <v>440</v>
      </c>
      <c r="N117" s="6">
        <v>2799.96</v>
      </c>
    </row>
    <row r="118" spans="1:14" ht="15" customHeight="1" x14ac:dyDescent="0.3">
      <c r="A118" s="3" t="s">
        <v>441</v>
      </c>
      <c r="B118" s="3" t="s">
        <v>442</v>
      </c>
      <c r="C118" s="3" t="s">
        <v>398</v>
      </c>
      <c r="D118" s="3" t="s">
        <v>399</v>
      </c>
      <c r="E118" s="3" t="s">
        <v>74</v>
      </c>
      <c r="F118" s="3" t="s">
        <v>75</v>
      </c>
      <c r="G118" s="3" t="s">
        <v>19</v>
      </c>
      <c r="H118" s="3">
        <v>3</v>
      </c>
      <c r="I118" s="4">
        <v>899.99</v>
      </c>
      <c r="J118" s="3" t="s">
        <v>28</v>
      </c>
      <c r="K118" s="3" t="s">
        <v>46</v>
      </c>
      <c r="L118" s="3" t="s">
        <v>40</v>
      </c>
      <c r="M118" s="3" t="s">
        <v>443</v>
      </c>
      <c r="N118" s="4">
        <v>2699.97</v>
      </c>
    </row>
    <row r="119" spans="1:14" ht="15" customHeight="1" x14ac:dyDescent="0.3">
      <c r="A119" s="5" t="s">
        <v>444</v>
      </c>
      <c r="B119" s="5" t="s">
        <v>445</v>
      </c>
      <c r="C119" s="5" t="s">
        <v>152</v>
      </c>
      <c r="D119" s="5" t="s">
        <v>153</v>
      </c>
      <c r="E119" s="5" t="s">
        <v>51</v>
      </c>
      <c r="F119" s="5" t="s">
        <v>52</v>
      </c>
      <c r="G119" s="5" t="s">
        <v>53</v>
      </c>
      <c r="H119" s="5">
        <v>3</v>
      </c>
      <c r="I119" s="6">
        <v>149.99</v>
      </c>
      <c r="J119" s="5" t="s">
        <v>38</v>
      </c>
      <c r="K119" s="5" t="s">
        <v>76</v>
      </c>
      <c r="L119" s="5" t="s">
        <v>22</v>
      </c>
      <c r="M119" s="5" t="s">
        <v>446</v>
      </c>
      <c r="N119" s="6">
        <v>449.97</v>
      </c>
    </row>
    <row r="120" spans="1:14" ht="15" customHeight="1" x14ac:dyDescent="0.3">
      <c r="A120" s="3" t="s">
        <v>447</v>
      </c>
      <c r="B120" s="3" t="s">
        <v>448</v>
      </c>
      <c r="C120" s="3" t="s">
        <v>130</v>
      </c>
      <c r="D120" s="3" t="s">
        <v>131</v>
      </c>
      <c r="E120" s="3" t="s">
        <v>140</v>
      </c>
      <c r="F120" s="3" t="s">
        <v>141</v>
      </c>
      <c r="G120" s="3" t="s">
        <v>53</v>
      </c>
      <c r="H120" s="3">
        <v>2</v>
      </c>
      <c r="I120" s="4">
        <v>299.99</v>
      </c>
      <c r="J120" s="3" t="s">
        <v>68</v>
      </c>
      <c r="K120" s="3" t="s">
        <v>21</v>
      </c>
      <c r="L120" s="3" t="s">
        <v>22</v>
      </c>
      <c r="M120" s="3" t="s">
        <v>449</v>
      </c>
      <c r="N120" s="4">
        <v>599.98</v>
      </c>
    </row>
    <row r="121" spans="1:14" ht="15" customHeight="1" x14ac:dyDescent="0.3">
      <c r="A121" s="5" t="s">
        <v>450</v>
      </c>
      <c r="B121" s="5" t="s">
        <v>451</v>
      </c>
      <c r="C121" s="5" t="s">
        <v>452</v>
      </c>
      <c r="D121" s="5" t="s">
        <v>453</v>
      </c>
      <c r="E121" s="5" t="s">
        <v>172</v>
      </c>
      <c r="F121" s="5" t="s">
        <v>173</v>
      </c>
      <c r="G121" s="5" t="s">
        <v>53</v>
      </c>
      <c r="H121" s="5">
        <v>1</v>
      </c>
      <c r="I121" s="6">
        <v>199.99</v>
      </c>
      <c r="J121" s="5" t="s">
        <v>68</v>
      </c>
      <c r="K121" s="5" t="s">
        <v>76</v>
      </c>
      <c r="L121" s="5" t="s">
        <v>40</v>
      </c>
      <c r="M121" s="5" t="s">
        <v>454</v>
      </c>
      <c r="N121" s="6">
        <v>199.99</v>
      </c>
    </row>
    <row r="122" spans="1:14" ht="15" customHeight="1" x14ac:dyDescent="0.3">
      <c r="A122" s="3" t="s">
        <v>455</v>
      </c>
      <c r="B122" s="3" t="s">
        <v>456</v>
      </c>
      <c r="C122" s="3" t="s">
        <v>49</v>
      </c>
      <c r="D122" s="3" t="s">
        <v>50</v>
      </c>
      <c r="E122" s="3" t="s">
        <v>140</v>
      </c>
      <c r="F122" s="3" t="s">
        <v>141</v>
      </c>
      <c r="G122" s="3" t="s">
        <v>53</v>
      </c>
      <c r="H122" s="3">
        <v>4</v>
      </c>
      <c r="I122" s="4">
        <v>299.99</v>
      </c>
      <c r="J122" s="3" t="s">
        <v>20</v>
      </c>
      <c r="K122" s="3" t="s">
        <v>21</v>
      </c>
      <c r="L122" s="3" t="s">
        <v>29</v>
      </c>
      <c r="M122" s="3" t="s">
        <v>457</v>
      </c>
      <c r="N122" s="4">
        <v>1199.96</v>
      </c>
    </row>
    <row r="123" spans="1:14" ht="15" customHeight="1" x14ac:dyDescent="0.3">
      <c r="A123" s="5" t="s">
        <v>458</v>
      </c>
      <c r="B123" s="5" t="s">
        <v>459</v>
      </c>
      <c r="C123" s="5" t="s">
        <v>114</v>
      </c>
      <c r="D123" s="5" t="s">
        <v>115</v>
      </c>
      <c r="E123" s="5" t="s">
        <v>35</v>
      </c>
      <c r="F123" s="5" t="s">
        <v>36</v>
      </c>
      <c r="G123" s="5" t="s">
        <v>37</v>
      </c>
      <c r="H123" s="5">
        <v>2</v>
      </c>
      <c r="I123" s="6">
        <v>59.99</v>
      </c>
      <c r="J123" s="5" t="s">
        <v>28</v>
      </c>
      <c r="K123" s="5" t="s">
        <v>21</v>
      </c>
      <c r="L123" s="5" t="s">
        <v>22</v>
      </c>
      <c r="M123" s="5" t="s">
        <v>243</v>
      </c>
      <c r="N123" s="6">
        <v>119.98</v>
      </c>
    </row>
    <row r="124" spans="1:14" ht="15" customHeight="1" x14ac:dyDescent="0.3">
      <c r="A124" s="3" t="s">
        <v>460</v>
      </c>
      <c r="B124" s="3" t="s">
        <v>459</v>
      </c>
      <c r="C124" s="3" t="s">
        <v>398</v>
      </c>
      <c r="D124" s="3" t="s">
        <v>399</v>
      </c>
      <c r="E124" s="3" t="s">
        <v>62</v>
      </c>
      <c r="F124" s="3" t="s">
        <v>63</v>
      </c>
      <c r="G124" s="3" t="s">
        <v>19</v>
      </c>
      <c r="H124" s="3">
        <v>4</v>
      </c>
      <c r="I124" s="4">
        <v>149.99</v>
      </c>
      <c r="J124" s="3" t="s">
        <v>28</v>
      </c>
      <c r="K124" s="3" t="s">
        <v>46</v>
      </c>
      <c r="L124" s="3" t="s">
        <v>29</v>
      </c>
      <c r="M124" s="3" t="s">
        <v>461</v>
      </c>
      <c r="N124" s="4">
        <v>599.96</v>
      </c>
    </row>
    <row r="125" spans="1:14" ht="15" customHeight="1" x14ac:dyDescent="0.3">
      <c r="A125" s="5" t="s">
        <v>462</v>
      </c>
      <c r="B125" s="5" t="s">
        <v>463</v>
      </c>
      <c r="C125" s="5" t="s">
        <v>348</v>
      </c>
      <c r="D125" s="5" t="s">
        <v>349</v>
      </c>
      <c r="E125" s="5" t="s">
        <v>101</v>
      </c>
      <c r="F125" s="5" t="s">
        <v>102</v>
      </c>
      <c r="G125" s="5" t="s">
        <v>19</v>
      </c>
      <c r="H125" s="5">
        <v>2</v>
      </c>
      <c r="I125" s="6">
        <v>699.99</v>
      </c>
      <c r="J125" s="5" t="s">
        <v>68</v>
      </c>
      <c r="K125" s="5" t="s">
        <v>76</v>
      </c>
      <c r="L125" s="5" t="s">
        <v>29</v>
      </c>
      <c r="M125" s="5" t="s">
        <v>464</v>
      </c>
      <c r="N125" s="6">
        <v>1399.98</v>
      </c>
    </row>
    <row r="126" spans="1:14" ht="15" customHeight="1" x14ac:dyDescent="0.3">
      <c r="A126" s="3" t="s">
        <v>465</v>
      </c>
      <c r="B126" s="3" t="s">
        <v>463</v>
      </c>
      <c r="C126" s="3" t="s">
        <v>393</v>
      </c>
      <c r="D126" s="3" t="s">
        <v>394</v>
      </c>
      <c r="E126" s="3" t="s">
        <v>51</v>
      </c>
      <c r="F126" s="3" t="s">
        <v>52</v>
      </c>
      <c r="G126" s="3" t="s">
        <v>53</v>
      </c>
      <c r="H126" s="3">
        <v>3</v>
      </c>
      <c r="I126" s="4">
        <v>149.99</v>
      </c>
      <c r="J126" s="3" t="s">
        <v>28</v>
      </c>
      <c r="K126" s="3" t="s">
        <v>39</v>
      </c>
      <c r="L126" s="3" t="s">
        <v>40</v>
      </c>
      <c r="M126" s="3" t="s">
        <v>466</v>
      </c>
      <c r="N126" s="4">
        <v>449.97</v>
      </c>
    </row>
    <row r="127" spans="1:14" ht="15" customHeight="1" x14ac:dyDescent="0.3">
      <c r="A127" s="5" t="s">
        <v>467</v>
      </c>
      <c r="B127" s="5" t="s">
        <v>468</v>
      </c>
      <c r="C127" s="5" t="s">
        <v>211</v>
      </c>
      <c r="D127" s="5" t="s">
        <v>212</v>
      </c>
      <c r="E127" s="5" t="s">
        <v>140</v>
      </c>
      <c r="F127" s="5" t="s">
        <v>141</v>
      </c>
      <c r="G127" s="5" t="s">
        <v>53</v>
      </c>
      <c r="H127" s="5">
        <v>3</v>
      </c>
      <c r="I127" s="6">
        <v>299.99</v>
      </c>
      <c r="J127" s="5" t="s">
        <v>28</v>
      </c>
      <c r="K127" s="5" t="s">
        <v>21</v>
      </c>
      <c r="L127" s="5" t="s">
        <v>40</v>
      </c>
      <c r="M127" s="5" t="s">
        <v>469</v>
      </c>
      <c r="N127" s="6">
        <v>899.97</v>
      </c>
    </row>
    <row r="128" spans="1:14" ht="15" customHeight="1" x14ac:dyDescent="0.3">
      <c r="A128" s="3" t="s">
        <v>470</v>
      </c>
      <c r="B128" s="3" t="s">
        <v>471</v>
      </c>
      <c r="C128" s="3" t="s">
        <v>105</v>
      </c>
      <c r="D128" s="3" t="s">
        <v>106</v>
      </c>
      <c r="E128" s="3" t="s">
        <v>74</v>
      </c>
      <c r="F128" s="3" t="s">
        <v>75</v>
      </c>
      <c r="G128" s="3" t="s">
        <v>19</v>
      </c>
      <c r="H128" s="3">
        <v>3</v>
      </c>
      <c r="I128" s="4">
        <v>899.99</v>
      </c>
      <c r="J128" s="3" t="s">
        <v>38</v>
      </c>
      <c r="K128" s="3" t="s">
        <v>59</v>
      </c>
      <c r="L128" s="3" t="s">
        <v>22</v>
      </c>
      <c r="M128" s="3" t="s">
        <v>472</v>
      </c>
      <c r="N128" s="4">
        <v>2699.97</v>
      </c>
    </row>
    <row r="129" spans="1:14" ht="15" customHeight="1" x14ac:dyDescent="0.3">
      <c r="A129" s="5" t="s">
        <v>473</v>
      </c>
      <c r="B129" s="5" t="s">
        <v>474</v>
      </c>
      <c r="C129" s="5" t="s">
        <v>125</v>
      </c>
      <c r="D129" s="5" t="s">
        <v>126</v>
      </c>
      <c r="E129" s="5" t="s">
        <v>101</v>
      </c>
      <c r="F129" s="5" t="s">
        <v>102</v>
      </c>
      <c r="G129" s="5" t="s">
        <v>19</v>
      </c>
      <c r="H129" s="5">
        <v>5</v>
      </c>
      <c r="I129" s="6">
        <v>699.99</v>
      </c>
      <c r="J129" s="5" t="s">
        <v>20</v>
      </c>
      <c r="K129" s="5" t="s">
        <v>76</v>
      </c>
      <c r="L129" s="5" t="s">
        <v>40</v>
      </c>
      <c r="M129" s="5" t="s">
        <v>475</v>
      </c>
      <c r="N129" s="6">
        <v>3499.95</v>
      </c>
    </row>
    <row r="130" spans="1:14" ht="15" customHeight="1" x14ac:dyDescent="0.3">
      <c r="A130" s="3" t="s">
        <v>476</v>
      </c>
      <c r="B130" s="3" t="s">
        <v>474</v>
      </c>
      <c r="C130" s="3" t="s">
        <v>258</v>
      </c>
      <c r="D130" s="3" t="s">
        <v>259</v>
      </c>
      <c r="E130" s="3" t="s">
        <v>101</v>
      </c>
      <c r="F130" s="3" t="s">
        <v>102</v>
      </c>
      <c r="G130" s="3" t="s">
        <v>19</v>
      </c>
      <c r="H130" s="3">
        <v>4</v>
      </c>
      <c r="I130" s="4">
        <v>699.99</v>
      </c>
      <c r="J130" s="3" t="s">
        <v>28</v>
      </c>
      <c r="K130" s="3" t="s">
        <v>21</v>
      </c>
      <c r="L130" s="3" t="s">
        <v>22</v>
      </c>
      <c r="M130" s="3" t="s">
        <v>477</v>
      </c>
      <c r="N130" s="4">
        <v>2799.96</v>
      </c>
    </row>
    <row r="131" spans="1:14" ht="15" customHeight="1" x14ac:dyDescent="0.3">
      <c r="A131" s="5" t="s">
        <v>478</v>
      </c>
      <c r="B131" s="5" t="s">
        <v>474</v>
      </c>
      <c r="C131" s="5" t="s">
        <v>216</v>
      </c>
      <c r="D131" s="5" t="s">
        <v>217</v>
      </c>
      <c r="E131" s="5" t="s">
        <v>74</v>
      </c>
      <c r="F131" s="5" t="s">
        <v>75</v>
      </c>
      <c r="G131" s="5" t="s">
        <v>19</v>
      </c>
      <c r="H131" s="5">
        <v>1</v>
      </c>
      <c r="I131" s="6">
        <v>899.99</v>
      </c>
      <c r="J131" s="5" t="s">
        <v>28</v>
      </c>
      <c r="K131" s="5" t="s">
        <v>76</v>
      </c>
      <c r="L131" s="5" t="s">
        <v>40</v>
      </c>
      <c r="M131" s="5" t="s">
        <v>479</v>
      </c>
      <c r="N131" s="6">
        <v>899.99</v>
      </c>
    </row>
    <row r="132" spans="1:14" ht="15" customHeight="1" x14ac:dyDescent="0.3">
      <c r="A132" s="3" t="s">
        <v>480</v>
      </c>
      <c r="B132" s="3" t="s">
        <v>481</v>
      </c>
      <c r="C132" s="3" t="s">
        <v>384</v>
      </c>
      <c r="D132" s="3" t="s">
        <v>385</v>
      </c>
      <c r="E132" s="3" t="s">
        <v>62</v>
      </c>
      <c r="F132" s="3" t="s">
        <v>63</v>
      </c>
      <c r="G132" s="3" t="s">
        <v>19</v>
      </c>
      <c r="H132" s="3">
        <v>2</v>
      </c>
      <c r="I132" s="4">
        <v>149.99</v>
      </c>
      <c r="J132" s="3" t="s">
        <v>28</v>
      </c>
      <c r="K132" s="3" t="s">
        <v>59</v>
      </c>
      <c r="L132" s="3" t="s">
        <v>22</v>
      </c>
      <c r="M132" s="3" t="s">
        <v>482</v>
      </c>
      <c r="N132" s="4">
        <v>299.98</v>
      </c>
    </row>
    <row r="133" spans="1:14" ht="15" customHeight="1" x14ac:dyDescent="0.3">
      <c r="A133" s="5" t="s">
        <v>483</v>
      </c>
      <c r="B133" s="5" t="s">
        <v>484</v>
      </c>
      <c r="C133" s="5" t="s">
        <v>384</v>
      </c>
      <c r="D133" s="5" t="s">
        <v>385</v>
      </c>
      <c r="E133" s="5" t="s">
        <v>158</v>
      </c>
      <c r="F133" s="5" t="s">
        <v>159</v>
      </c>
      <c r="G133" s="5" t="s">
        <v>19</v>
      </c>
      <c r="H133" s="5">
        <v>3</v>
      </c>
      <c r="I133" s="6">
        <v>89.99</v>
      </c>
      <c r="J133" s="5" t="s">
        <v>38</v>
      </c>
      <c r="K133" s="5" t="s">
        <v>21</v>
      </c>
      <c r="L133" s="5" t="s">
        <v>22</v>
      </c>
      <c r="M133" s="5" t="s">
        <v>485</v>
      </c>
      <c r="N133" s="6">
        <v>269.97000000000003</v>
      </c>
    </row>
    <row r="134" spans="1:14" ht="15" customHeight="1" x14ac:dyDescent="0.3">
      <c r="A134" s="3" t="s">
        <v>486</v>
      </c>
      <c r="B134" s="3" t="s">
        <v>487</v>
      </c>
      <c r="C134" s="3" t="s">
        <v>44</v>
      </c>
      <c r="D134" s="3" t="s">
        <v>45</v>
      </c>
      <c r="E134" s="3" t="s">
        <v>62</v>
      </c>
      <c r="F134" s="3" t="s">
        <v>63</v>
      </c>
      <c r="G134" s="3" t="s">
        <v>19</v>
      </c>
      <c r="H134" s="3">
        <v>2</v>
      </c>
      <c r="I134" s="4">
        <v>149.99</v>
      </c>
      <c r="J134" s="3" t="s">
        <v>38</v>
      </c>
      <c r="K134" s="3" t="s">
        <v>21</v>
      </c>
      <c r="L134" s="3" t="s">
        <v>22</v>
      </c>
      <c r="M134" s="3" t="s">
        <v>488</v>
      </c>
      <c r="N134" s="4">
        <v>299.98</v>
      </c>
    </row>
    <row r="135" spans="1:14" ht="15" customHeight="1" x14ac:dyDescent="0.3">
      <c r="A135" s="5" t="s">
        <v>489</v>
      </c>
      <c r="B135" s="5" t="s">
        <v>487</v>
      </c>
      <c r="C135" s="5" t="s">
        <v>223</v>
      </c>
      <c r="D135" s="5" t="s">
        <v>224</v>
      </c>
      <c r="E135" s="5" t="s">
        <v>101</v>
      </c>
      <c r="F135" s="5" t="s">
        <v>102</v>
      </c>
      <c r="G135" s="5" t="s">
        <v>19</v>
      </c>
      <c r="H135" s="5">
        <v>2</v>
      </c>
      <c r="I135" s="6">
        <v>699.99</v>
      </c>
      <c r="J135" s="5" t="s">
        <v>20</v>
      </c>
      <c r="K135" s="5" t="s">
        <v>21</v>
      </c>
      <c r="L135" s="5" t="s">
        <v>22</v>
      </c>
      <c r="M135" s="5" t="s">
        <v>490</v>
      </c>
      <c r="N135" s="6">
        <v>1399.98</v>
      </c>
    </row>
    <row r="136" spans="1:14" ht="15" customHeight="1" x14ac:dyDescent="0.3">
      <c r="A136" s="3" t="s">
        <v>491</v>
      </c>
      <c r="B136" s="3" t="s">
        <v>492</v>
      </c>
      <c r="C136" s="3" t="s">
        <v>230</v>
      </c>
      <c r="D136" s="3" t="s">
        <v>231</v>
      </c>
      <c r="E136" s="3" t="s">
        <v>101</v>
      </c>
      <c r="F136" s="3" t="s">
        <v>102</v>
      </c>
      <c r="G136" s="3" t="s">
        <v>19</v>
      </c>
      <c r="H136" s="3">
        <v>5</v>
      </c>
      <c r="I136" s="4">
        <v>699.99</v>
      </c>
      <c r="J136" s="3" t="s">
        <v>20</v>
      </c>
      <c r="K136" s="3" t="s">
        <v>46</v>
      </c>
      <c r="L136" s="3" t="s">
        <v>29</v>
      </c>
      <c r="M136" s="3" t="s">
        <v>493</v>
      </c>
      <c r="N136" s="4">
        <v>3499.95</v>
      </c>
    </row>
    <row r="137" spans="1:14" ht="15" customHeight="1" x14ac:dyDescent="0.3">
      <c r="A137" s="5" t="s">
        <v>494</v>
      </c>
      <c r="B137" s="5" t="s">
        <v>495</v>
      </c>
      <c r="C137" s="5" t="s">
        <v>258</v>
      </c>
      <c r="D137" s="5" t="s">
        <v>259</v>
      </c>
      <c r="E137" s="5" t="s">
        <v>158</v>
      </c>
      <c r="F137" s="5" t="s">
        <v>159</v>
      </c>
      <c r="G137" s="5" t="s">
        <v>19</v>
      </c>
      <c r="H137" s="5">
        <v>3</v>
      </c>
      <c r="I137" s="6">
        <v>89.99</v>
      </c>
      <c r="J137" s="5" t="s">
        <v>28</v>
      </c>
      <c r="K137" s="5" t="s">
        <v>46</v>
      </c>
      <c r="L137" s="5" t="s">
        <v>40</v>
      </c>
      <c r="M137" s="5" t="s">
        <v>496</v>
      </c>
      <c r="N137" s="6">
        <v>269.97000000000003</v>
      </c>
    </row>
    <row r="138" spans="1:14" ht="15" customHeight="1" x14ac:dyDescent="0.3">
      <c r="A138" s="3" t="s">
        <v>497</v>
      </c>
      <c r="B138" s="3" t="s">
        <v>498</v>
      </c>
      <c r="C138" s="3" t="s">
        <v>15</v>
      </c>
      <c r="D138" s="3" t="s">
        <v>16</v>
      </c>
      <c r="E138" s="3" t="s">
        <v>17</v>
      </c>
      <c r="F138" s="3" t="s">
        <v>18</v>
      </c>
      <c r="G138" s="3" t="s">
        <v>19</v>
      </c>
      <c r="H138" s="3">
        <v>5</v>
      </c>
      <c r="I138" s="4">
        <v>249.99</v>
      </c>
      <c r="J138" s="3" t="s">
        <v>28</v>
      </c>
      <c r="K138" s="3" t="s">
        <v>39</v>
      </c>
      <c r="L138" s="3" t="s">
        <v>40</v>
      </c>
      <c r="M138" s="3" t="s">
        <v>499</v>
      </c>
      <c r="N138" s="4">
        <v>1249.95</v>
      </c>
    </row>
    <row r="139" spans="1:14" ht="15" customHeight="1" x14ac:dyDescent="0.3">
      <c r="A139" s="5" t="s">
        <v>500</v>
      </c>
      <c r="B139" s="5" t="s">
        <v>501</v>
      </c>
      <c r="C139" s="5" t="s">
        <v>80</v>
      </c>
      <c r="D139" s="5" t="s">
        <v>81</v>
      </c>
      <c r="E139" s="5" t="s">
        <v>140</v>
      </c>
      <c r="F139" s="5" t="s">
        <v>141</v>
      </c>
      <c r="G139" s="5" t="s">
        <v>53</v>
      </c>
      <c r="H139" s="5">
        <v>3</v>
      </c>
      <c r="I139" s="6">
        <v>299.99</v>
      </c>
      <c r="J139" s="5" t="s">
        <v>28</v>
      </c>
      <c r="K139" s="5" t="s">
        <v>39</v>
      </c>
      <c r="L139" s="5" t="s">
        <v>40</v>
      </c>
      <c r="M139" s="5" t="s">
        <v>502</v>
      </c>
      <c r="N139" s="6">
        <v>899.97</v>
      </c>
    </row>
    <row r="140" spans="1:14" ht="15" customHeight="1" x14ac:dyDescent="0.3">
      <c r="A140" s="3" t="s">
        <v>503</v>
      </c>
      <c r="B140" s="3" t="s">
        <v>504</v>
      </c>
      <c r="C140" s="3" t="s">
        <v>130</v>
      </c>
      <c r="D140" s="3" t="s">
        <v>131</v>
      </c>
      <c r="E140" s="3" t="s">
        <v>158</v>
      </c>
      <c r="F140" s="3" t="s">
        <v>159</v>
      </c>
      <c r="G140" s="3" t="s">
        <v>19</v>
      </c>
      <c r="H140" s="3">
        <v>3</v>
      </c>
      <c r="I140" s="4">
        <v>89.99</v>
      </c>
      <c r="J140" s="3" t="s">
        <v>28</v>
      </c>
      <c r="K140" s="3" t="s">
        <v>46</v>
      </c>
      <c r="L140" s="3" t="s">
        <v>29</v>
      </c>
      <c r="M140" s="3" t="s">
        <v>505</v>
      </c>
      <c r="N140" s="4">
        <v>269.97000000000003</v>
      </c>
    </row>
    <row r="141" spans="1:14" ht="15" customHeight="1" x14ac:dyDescent="0.3">
      <c r="A141" s="5" t="s">
        <v>506</v>
      </c>
      <c r="B141" s="5" t="s">
        <v>507</v>
      </c>
      <c r="C141" s="5" t="s">
        <v>114</v>
      </c>
      <c r="D141" s="5" t="s">
        <v>115</v>
      </c>
      <c r="E141" s="5" t="s">
        <v>51</v>
      </c>
      <c r="F141" s="5" t="s">
        <v>52</v>
      </c>
      <c r="G141" s="5" t="s">
        <v>53</v>
      </c>
      <c r="H141" s="5">
        <v>2</v>
      </c>
      <c r="I141" s="6">
        <v>149.99</v>
      </c>
      <c r="J141" s="5" t="s">
        <v>28</v>
      </c>
      <c r="K141" s="5" t="s">
        <v>59</v>
      </c>
      <c r="L141" s="5" t="s">
        <v>29</v>
      </c>
      <c r="M141" s="5" t="s">
        <v>508</v>
      </c>
      <c r="N141" s="6">
        <v>299.98</v>
      </c>
    </row>
    <row r="142" spans="1:14" ht="15" customHeight="1" x14ac:dyDescent="0.3">
      <c r="A142" s="3" t="s">
        <v>509</v>
      </c>
      <c r="B142" s="3" t="s">
        <v>510</v>
      </c>
      <c r="C142" s="3" t="s">
        <v>289</v>
      </c>
      <c r="D142" s="3" t="s">
        <v>290</v>
      </c>
      <c r="E142" s="3" t="s">
        <v>17</v>
      </c>
      <c r="F142" s="3" t="s">
        <v>18</v>
      </c>
      <c r="G142" s="3" t="s">
        <v>19</v>
      </c>
      <c r="H142" s="3">
        <v>1</v>
      </c>
      <c r="I142" s="4">
        <v>249.99</v>
      </c>
      <c r="J142" s="3" t="s">
        <v>28</v>
      </c>
      <c r="K142" s="3" t="s">
        <v>46</v>
      </c>
      <c r="L142" s="3" t="s">
        <v>29</v>
      </c>
      <c r="M142" s="3" t="s">
        <v>511</v>
      </c>
      <c r="N142" s="4">
        <v>249.99</v>
      </c>
    </row>
    <row r="143" spans="1:14" ht="15" customHeight="1" x14ac:dyDescent="0.3">
      <c r="A143" s="5" t="s">
        <v>512</v>
      </c>
      <c r="B143" s="5" t="s">
        <v>513</v>
      </c>
      <c r="C143" s="5" t="s">
        <v>90</v>
      </c>
      <c r="D143" s="5" t="s">
        <v>91</v>
      </c>
      <c r="E143" s="5" t="s">
        <v>62</v>
      </c>
      <c r="F143" s="5" t="s">
        <v>63</v>
      </c>
      <c r="G143" s="5" t="s">
        <v>19</v>
      </c>
      <c r="H143" s="5">
        <v>3</v>
      </c>
      <c r="I143" s="6">
        <v>149.99</v>
      </c>
      <c r="J143" s="5" t="s">
        <v>20</v>
      </c>
      <c r="K143" s="5" t="s">
        <v>46</v>
      </c>
      <c r="L143" s="5" t="s">
        <v>22</v>
      </c>
      <c r="M143" s="5" t="s">
        <v>514</v>
      </c>
      <c r="N143" s="6">
        <v>449.97</v>
      </c>
    </row>
    <row r="144" spans="1:14" ht="15" customHeight="1" x14ac:dyDescent="0.3">
      <c r="A144" s="3" t="s">
        <v>515</v>
      </c>
      <c r="B144" s="3" t="s">
        <v>513</v>
      </c>
      <c r="C144" s="3" t="s">
        <v>15</v>
      </c>
      <c r="D144" s="3" t="s">
        <v>16</v>
      </c>
      <c r="E144" s="3" t="s">
        <v>35</v>
      </c>
      <c r="F144" s="3" t="s">
        <v>36</v>
      </c>
      <c r="G144" s="3" t="s">
        <v>37</v>
      </c>
      <c r="H144" s="3">
        <v>5</v>
      </c>
      <c r="I144" s="4">
        <v>59.99</v>
      </c>
      <c r="J144" s="3" t="s">
        <v>38</v>
      </c>
      <c r="K144" s="3" t="s">
        <v>59</v>
      </c>
      <c r="L144" s="3" t="s">
        <v>29</v>
      </c>
      <c r="M144" s="3" t="s">
        <v>516</v>
      </c>
      <c r="N144" s="4">
        <v>299.95</v>
      </c>
    </row>
    <row r="145" spans="1:14" ht="15" customHeight="1" x14ac:dyDescent="0.3">
      <c r="A145" s="5" t="s">
        <v>517</v>
      </c>
      <c r="B145" s="5" t="s">
        <v>513</v>
      </c>
      <c r="C145" s="5" t="s">
        <v>130</v>
      </c>
      <c r="D145" s="5" t="s">
        <v>131</v>
      </c>
      <c r="E145" s="5" t="s">
        <v>17</v>
      </c>
      <c r="F145" s="5" t="s">
        <v>18</v>
      </c>
      <c r="G145" s="5" t="s">
        <v>19</v>
      </c>
      <c r="H145" s="5">
        <v>4</v>
      </c>
      <c r="I145" s="6">
        <v>249.99</v>
      </c>
      <c r="J145" s="5" t="s">
        <v>28</v>
      </c>
      <c r="K145" s="5" t="s">
        <v>59</v>
      </c>
      <c r="L145" s="5" t="s">
        <v>40</v>
      </c>
      <c r="M145" s="5" t="s">
        <v>518</v>
      </c>
      <c r="N145" s="6">
        <v>999.96</v>
      </c>
    </row>
    <row r="146" spans="1:14" ht="15" customHeight="1" x14ac:dyDescent="0.3">
      <c r="A146" s="3" t="s">
        <v>519</v>
      </c>
      <c r="B146" s="3" t="s">
        <v>520</v>
      </c>
      <c r="C146" s="3" t="s">
        <v>223</v>
      </c>
      <c r="D146" s="3" t="s">
        <v>224</v>
      </c>
      <c r="E146" s="3" t="s">
        <v>51</v>
      </c>
      <c r="F146" s="3" t="s">
        <v>52</v>
      </c>
      <c r="G146" s="3" t="s">
        <v>53</v>
      </c>
      <c r="H146" s="3">
        <v>5</v>
      </c>
      <c r="I146" s="4">
        <v>149.99</v>
      </c>
      <c r="J146" s="3" t="s">
        <v>38</v>
      </c>
      <c r="K146" s="3" t="s">
        <v>21</v>
      </c>
      <c r="L146" s="3" t="s">
        <v>22</v>
      </c>
      <c r="M146" s="3" t="s">
        <v>521</v>
      </c>
      <c r="N146" s="4">
        <v>749.95</v>
      </c>
    </row>
    <row r="147" spans="1:14" ht="15" customHeight="1" x14ac:dyDescent="0.3">
      <c r="A147" s="5" t="s">
        <v>522</v>
      </c>
      <c r="B147" s="5" t="s">
        <v>520</v>
      </c>
      <c r="C147" s="5" t="s">
        <v>105</v>
      </c>
      <c r="D147" s="5" t="s">
        <v>106</v>
      </c>
      <c r="E147" s="5" t="s">
        <v>35</v>
      </c>
      <c r="F147" s="5" t="s">
        <v>36</v>
      </c>
      <c r="G147" s="5" t="s">
        <v>37</v>
      </c>
      <c r="H147" s="5">
        <v>3</v>
      </c>
      <c r="I147" s="6">
        <v>59.99</v>
      </c>
      <c r="J147" s="5" t="s">
        <v>68</v>
      </c>
      <c r="K147" s="5" t="s">
        <v>39</v>
      </c>
      <c r="L147" s="5" t="s">
        <v>40</v>
      </c>
      <c r="M147" s="5" t="s">
        <v>523</v>
      </c>
      <c r="N147" s="6">
        <v>179.97</v>
      </c>
    </row>
    <row r="148" spans="1:14" ht="15" customHeight="1" x14ac:dyDescent="0.3">
      <c r="A148" s="3" t="s">
        <v>524</v>
      </c>
      <c r="B148" s="3" t="s">
        <v>525</v>
      </c>
      <c r="C148" s="3" t="s">
        <v>398</v>
      </c>
      <c r="D148" s="3" t="s">
        <v>399</v>
      </c>
      <c r="E148" s="3" t="s">
        <v>51</v>
      </c>
      <c r="F148" s="3" t="s">
        <v>52</v>
      </c>
      <c r="G148" s="3" t="s">
        <v>53</v>
      </c>
      <c r="H148" s="3">
        <v>5</v>
      </c>
      <c r="I148" s="4">
        <v>149.99</v>
      </c>
      <c r="J148" s="3" t="s">
        <v>20</v>
      </c>
      <c r="K148" s="3" t="s">
        <v>46</v>
      </c>
      <c r="L148" s="3" t="s">
        <v>22</v>
      </c>
      <c r="M148" s="3" t="s">
        <v>526</v>
      </c>
      <c r="N148" s="4">
        <v>749.95</v>
      </c>
    </row>
    <row r="149" spans="1:14" ht="15" customHeight="1" x14ac:dyDescent="0.3">
      <c r="A149" s="5" t="s">
        <v>527</v>
      </c>
      <c r="B149" s="5" t="s">
        <v>525</v>
      </c>
      <c r="C149" s="5" t="s">
        <v>110</v>
      </c>
      <c r="D149" s="5" t="s">
        <v>111</v>
      </c>
      <c r="E149" s="5" t="s">
        <v>101</v>
      </c>
      <c r="F149" s="5" t="s">
        <v>102</v>
      </c>
      <c r="G149" s="5" t="s">
        <v>19</v>
      </c>
      <c r="H149" s="5">
        <v>2</v>
      </c>
      <c r="I149" s="6">
        <v>699.99</v>
      </c>
      <c r="J149" s="5" t="s">
        <v>38</v>
      </c>
      <c r="K149" s="5" t="s">
        <v>59</v>
      </c>
      <c r="L149" s="5" t="s">
        <v>40</v>
      </c>
      <c r="M149" s="5" t="s">
        <v>528</v>
      </c>
      <c r="N149" s="6">
        <v>1399.98</v>
      </c>
    </row>
    <row r="150" spans="1:14" ht="15" customHeight="1" x14ac:dyDescent="0.3">
      <c r="A150" s="3" t="s">
        <v>529</v>
      </c>
      <c r="B150" s="3" t="s">
        <v>530</v>
      </c>
      <c r="C150" s="3" t="s">
        <v>168</v>
      </c>
      <c r="D150" s="3" t="s">
        <v>169</v>
      </c>
      <c r="E150" s="3" t="s">
        <v>172</v>
      </c>
      <c r="F150" s="3" t="s">
        <v>173</v>
      </c>
      <c r="G150" s="3" t="s">
        <v>53</v>
      </c>
      <c r="H150" s="3">
        <v>4</v>
      </c>
      <c r="I150" s="4">
        <v>199.99</v>
      </c>
      <c r="J150" s="3" t="s">
        <v>68</v>
      </c>
      <c r="K150" s="3" t="s">
        <v>21</v>
      </c>
      <c r="L150" s="3" t="s">
        <v>29</v>
      </c>
      <c r="M150" s="3" t="s">
        <v>531</v>
      </c>
      <c r="N150" s="4">
        <v>799.96</v>
      </c>
    </row>
    <row r="151" spans="1:14" ht="15" customHeight="1" x14ac:dyDescent="0.3">
      <c r="A151" s="5" t="s">
        <v>532</v>
      </c>
      <c r="B151" s="5" t="s">
        <v>533</v>
      </c>
      <c r="C151" s="5" t="s">
        <v>303</v>
      </c>
      <c r="D151" s="5" t="s">
        <v>304</v>
      </c>
      <c r="E151" s="5" t="s">
        <v>35</v>
      </c>
      <c r="F151" s="5" t="s">
        <v>36</v>
      </c>
      <c r="G151" s="5" t="s">
        <v>37</v>
      </c>
      <c r="H151" s="5">
        <v>1</v>
      </c>
      <c r="I151" s="6">
        <v>59.99</v>
      </c>
      <c r="J151" s="5" t="s">
        <v>68</v>
      </c>
      <c r="K151" s="5" t="s">
        <v>59</v>
      </c>
      <c r="L151" s="5" t="s">
        <v>40</v>
      </c>
      <c r="M151" s="5" t="s">
        <v>534</v>
      </c>
      <c r="N151" s="6">
        <v>59.99</v>
      </c>
    </row>
    <row r="152" spans="1:14" ht="15" customHeight="1" x14ac:dyDescent="0.3">
      <c r="A152" s="3" t="s">
        <v>535</v>
      </c>
      <c r="B152" s="3" t="s">
        <v>533</v>
      </c>
      <c r="C152" s="3" t="s">
        <v>223</v>
      </c>
      <c r="D152" s="3" t="s">
        <v>224</v>
      </c>
      <c r="E152" s="3" t="s">
        <v>101</v>
      </c>
      <c r="F152" s="3" t="s">
        <v>102</v>
      </c>
      <c r="G152" s="3" t="s">
        <v>19</v>
      </c>
      <c r="H152" s="3">
        <v>3</v>
      </c>
      <c r="I152" s="4">
        <v>699.99</v>
      </c>
      <c r="J152" s="3" t="s">
        <v>38</v>
      </c>
      <c r="K152" s="3" t="s">
        <v>59</v>
      </c>
      <c r="L152" s="3" t="s">
        <v>40</v>
      </c>
      <c r="M152" s="3" t="s">
        <v>536</v>
      </c>
      <c r="N152" s="4">
        <v>2099.9699999999998</v>
      </c>
    </row>
    <row r="153" spans="1:14" ht="15" customHeight="1" x14ac:dyDescent="0.3">
      <c r="A153" s="5" t="s">
        <v>537</v>
      </c>
      <c r="B153" s="5" t="s">
        <v>538</v>
      </c>
      <c r="C153" s="5" t="s">
        <v>539</v>
      </c>
      <c r="D153" s="5" t="s">
        <v>540</v>
      </c>
      <c r="E153" s="5" t="s">
        <v>17</v>
      </c>
      <c r="F153" s="5" t="s">
        <v>18</v>
      </c>
      <c r="G153" s="5" t="s">
        <v>19</v>
      </c>
      <c r="H153" s="5">
        <v>5</v>
      </c>
      <c r="I153" s="6">
        <v>249.99</v>
      </c>
      <c r="J153" s="5" t="s">
        <v>28</v>
      </c>
      <c r="K153" s="5" t="s">
        <v>46</v>
      </c>
      <c r="L153" s="5" t="s">
        <v>22</v>
      </c>
      <c r="M153" s="5" t="s">
        <v>541</v>
      </c>
      <c r="N153" s="6">
        <v>1249.95</v>
      </c>
    </row>
    <row r="154" spans="1:14" ht="15" customHeight="1" x14ac:dyDescent="0.3">
      <c r="A154" s="3" t="s">
        <v>542</v>
      </c>
      <c r="B154" s="3" t="s">
        <v>543</v>
      </c>
      <c r="C154" s="3" t="s">
        <v>152</v>
      </c>
      <c r="D154" s="3" t="s">
        <v>153</v>
      </c>
      <c r="E154" s="3" t="s">
        <v>51</v>
      </c>
      <c r="F154" s="3" t="s">
        <v>52</v>
      </c>
      <c r="G154" s="3" t="s">
        <v>53</v>
      </c>
      <c r="H154" s="3">
        <v>2</v>
      </c>
      <c r="I154" s="4">
        <v>149.99</v>
      </c>
      <c r="J154" s="3" t="s">
        <v>20</v>
      </c>
      <c r="K154" s="3" t="s">
        <v>39</v>
      </c>
      <c r="L154" s="3" t="s">
        <v>40</v>
      </c>
      <c r="M154" s="3" t="s">
        <v>544</v>
      </c>
      <c r="N154" s="4">
        <v>299.98</v>
      </c>
    </row>
    <row r="155" spans="1:14" ht="15" customHeight="1" x14ac:dyDescent="0.3">
      <c r="A155" s="5" t="s">
        <v>545</v>
      </c>
      <c r="B155" s="5" t="s">
        <v>546</v>
      </c>
      <c r="C155" s="5" t="s">
        <v>33</v>
      </c>
      <c r="D155" s="5" t="s">
        <v>34</v>
      </c>
      <c r="E155" s="5" t="s">
        <v>140</v>
      </c>
      <c r="F155" s="5" t="s">
        <v>141</v>
      </c>
      <c r="G155" s="5" t="s">
        <v>53</v>
      </c>
      <c r="H155" s="5">
        <v>3</v>
      </c>
      <c r="I155" s="6">
        <v>299.99</v>
      </c>
      <c r="J155" s="5" t="s">
        <v>20</v>
      </c>
      <c r="K155" s="5" t="s">
        <v>39</v>
      </c>
      <c r="L155" s="5" t="s">
        <v>29</v>
      </c>
      <c r="M155" s="5" t="s">
        <v>518</v>
      </c>
      <c r="N155" s="6">
        <v>899.97</v>
      </c>
    </row>
    <row r="156" spans="1:14" ht="15" customHeight="1" x14ac:dyDescent="0.3">
      <c r="A156" s="3" t="s">
        <v>547</v>
      </c>
      <c r="B156" s="3" t="s">
        <v>546</v>
      </c>
      <c r="C156" s="3" t="s">
        <v>66</v>
      </c>
      <c r="D156" s="3" t="s">
        <v>67</v>
      </c>
      <c r="E156" s="3" t="s">
        <v>17</v>
      </c>
      <c r="F156" s="3" t="s">
        <v>18</v>
      </c>
      <c r="G156" s="3" t="s">
        <v>19</v>
      </c>
      <c r="H156" s="3">
        <v>5</v>
      </c>
      <c r="I156" s="4">
        <v>249.99</v>
      </c>
      <c r="J156" s="3" t="s">
        <v>20</v>
      </c>
      <c r="K156" s="3" t="s">
        <v>21</v>
      </c>
      <c r="L156" s="3" t="s">
        <v>29</v>
      </c>
      <c r="M156" s="3" t="s">
        <v>548</v>
      </c>
      <c r="N156" s="4">
        <v>1249.95</v>
      </c>
    </row>
    <row r="157" spans="1:14" ht="15" customHeight="1" x14ac:dyDescent="0.3">
      <c r="A157" s="5" t="s">
        <v>549</v>
      </c>
      <c r="B157" s="5" t="s">
        <v>546</v>
      </c>
      <c r="C157" s="5" t="s">
        <v>26</v>
      </c>
      <c r="D157" s="5" t="s">
        <v>27</v>
      </c>
      <c r="E157" s="5" t="s">
        <v>62</v>
      </c>
      <c r="F157" s="5" t="s">
        <v>63</v>
      </c>
      <c r="G157" s="5" t="s">
        <v>19</v>
      </c>
      <c r="H157" s="5">
        <v>2</v>
      </c>
      <c r="I157" s="6">
        <v>149.99</v>
      </c>
      <c r="J157" s="5" t="s">
        <v>20</v>
      </c>
      <c r="K157" s="5" t="s">
        <v>39</v>
      </c>
      <c r="L157" s="5" t="s">
        <v>29</v>
      </c>
      <c r="M157" s="5" t="s">
        <v>550</v>
      </c>
      <c r="N157" s="6">
        <v>299.98</v>
      </c>
    </row>
    <row r="158" spans="1:14" ht="15" customHeight="1" x14ac:dyDescent="0.3">
      <c r="A158" s="3" t="s">
        <v>551</v>
      </c>
      <c r="B158" s="3" t="s">
        <v>546</v>
      </c>
      <c r="C158" s="3" t="s">
        <v>110</v>
      </c>
      <c r="D158" s="3" t="s">
        <v>111</v>
      </c>
      <c r="E158" s="3" t="s">
        <v>101</v>
      </c>
      <c r="F158" s="3" t="s">
        <v>102</v>
      </c>
      <c r="G158" s="3" t="s">
        <v>19</v>
      </c>
      <c r="H158" s="3">
        <v>5</v>
      </c>
      <c r="I158" s="4">
        <v>699.99</v>
      </c>
      <c r="J158" s="3" t="s">
        <v>68</v>
      </c>
      <c r="K158" s="3" t="s">
        <v>59</v>
      </c>
      <c r="L158" s="3" t="s">
        <v>40</v>
      </c>
      <c r="M158" s="3" t="s">
        <v>552</v>
      </c>
      <c r="N158" s="4">
        <v>3499.95</v>
      </c>
    </row>
    <row r="159" spans="1:14" ht="15" customHeight="1" x14ac:dyDescent="0.3">
      <c r="A159" s="5" t="s">
        <v>553</v>
      </c>
      <c r="B159" s="5" t="s">
        <v>554</v>
      </c>
      <c r="C159" s="5" t="s">
        <v>436</v>
      </c>
      <c r="D159" s="5" t="s">
        <v>437</v>
      </c>
      <c r="E159" s="5" t="s">
        <v>17</v>
      </c>
      <c r="F159" s="5" t="s">
        <v>18</v>
      </c>
      <c r="G159" s="5" t="s">
        <v>19</v>
      </c>
      <c r="H159" s="5">
        <v>4</v>
      </c>
      <c r="I159" s="6">
        <v>249.99</v>
      </c>
      <c r="J159" s="5" t="s">
        <v>38</v>
      </c>
      <c r="K159" s="5" t="s">
        <v>76</v>
      </c>
      <c r="L159" s="5" t="s">
        <v>29</v>
      </c>
      <c r="M159" s="5" t="s">
        <v>555</v>
      </c>
      <c r="N159" s="6">
        <v>999.96</v>
      </c>
    </row>
    <row r="160" spans="1:14" ht="15" customHeight="1" x14ac:dyDescent="0.3">
      <c r="A160" s="3" t="s">
        <v>556</v>
      </c>
      <c r="B160" s="3" t="s">
        <v>557</v>
      </c>
      <c r="C160" s="3" t="s">
        <v>57</v>
      </c>
      <c r="D160" s="3" t="s">
        <v>58</v>
      </c>
      <c r="E160" s="3" t="s">
        <v>101</v>
      </c>
      <c r="F160" s="3" t="s">
        <v>102</v>
      </c>
      <c r="G160" s="3" t="s">
        <v>19</v>
      </c>
      <c r="H160" s="3">
        <v>4</v>
      </c>
      <c r="I160" s="4">
        <v>699.99</v>
      </c>
      <c r="J160" s="3" t="s">
        <v>28</v>
      </c>
      <c r="K160" s="3" t="s">
        <v>46</v>
      </c>
      <c r="L160" s="3" t="s">
        <v>29</v>
      </c>
      <c r="M160" s="3" t="s">
        <v>558</v>
      </c>
      <c r="N160" s="4">
        <v>2799.96</v>
      </c>
    </row>
    <row r="161" spans="1:14" ht="15" customHeight="1" x14ac:dyDescent="0.3">
      <c r="A161" s="5" t="s">
        <v>559</v>
      </c>
      <c r="B161" s="5" t="s">
        <v>560</v>
      </c>
      <c r="C161" s="5" t="s">
        <v>145</v>
      </c>
      <c r="D161" s="5" t="s">
        <v>146</v>
      </c>
      <c r="E161" s="5" t="s">
        <v>17</v>
      </c>
      <c r="F161" s="5" t="s">
        <v>18</v>
      </c>
      <c r="G161" s="5" t="s">
        <v>19</v>
      </c>
      <c r="H161" s="5">
        <v>2</v>
      </c>
      <c r="I161" s="6">
        <v>249.99</v>
      </c>
      <c r="J161" s="5" t="s">
        <v>28</v>
      </c>
      <c r="K161" s="5" t="s">
        <v>21</v>
      </c>
      <c r="L161" s="5" t="s">
        <v>29</v>
      </c>
      <c r="M161" s="5" t="s">
        <v>561</v>
      </c>
      <c r="N161" s="6">
        <v>499.98</v>
      </c>
    </row>
    <row r="162" spans="1:14" ht="15" customHeight="1" x14ac:dyDescent="0.3">
      <c r="A162" s="3" t="s">
        <v>562</v>
      </c>
      <c r="B162" s="3" t="s">
        <v>560</v>
      </c>
      <c r="C162" s="3" t="s">
        <v>563</v>
      </c>
      <c r="D162" s="3" t="s">
        <v>564</v>
      </c>
      <c r="E162" s="3" t="s">
        <v>35</v>
      </c>
      <c r="F162" s="3" t="s">
        <v>36</v>
      </c>
      <c r="G162" s="3" t="s">
        <v>37</v>
      </c>
      <c r="H162" s="3">
        <v>3</v>
      </c>
      <c r="I162" s="4">
        <v>59.99</v>
      </c>
      <c r="J162" s="3" t="s">
        <v>20</v>
      </c>
      <c r="K162" s="3" t="s">
        <v>21</v>
      </c>
      <c r="L162" s="3" t="s">
        <v>29</v>
      </c>
      <c r="M162" s="3" t="s">
        <v>565</v>
      </c>
      <c r="N162" s="4">
        <v>179.97</v>
      </c>
    </row>
    <row r="163" spans="1:14" ht="15" customHeight="1" x14ac:dyDescent="0.3">
      <c r="A163" s="5" t="s">
        <v>566</v>
      </c>
      <c r="B163" s="5" t="s">
        <v>560</v>
      </c>
      <c r="C163" s="5" t="s">
        <v>201</v>
      </c>
      <c r="D163" s="5" t="s">
        <v>202</v>
      </c>
      <c r="E163" s="5" t="s">
        <v>154</v>
      </c>
      <c r="F163" s="5" t="s">
        <v>155</v>
      </c>
      <c r="G163" s="5" t="s">
        <v>37</v>
      </c>
      <c r="H163" s="5">
        <v>4</v>
      </c>
      <c r="I163" s="6">
        <v>79.989999999999995</v>
      </c>
      <c r="J163" s="5" t="s">
        <v>68</v>
      </c>
      <c r="K163" s="5" t="s">
        <v>76</v>
      </c>
      <c r="L163" s="5" t="s">
        <v>40</v>
      </c>
      <c r="M163" s="5" t="s">
        <v>567</v>
      </c>
      <c r="N163" s="6">
        <v>319.95999999999998</v>
      </c>
    </row>
    <row r="164" spans="1:14" ht="15" customHeight="1" x14ac:dyDescent="0.3">
      <c r="A164" s="3" t="s">
        <v>568</v>
      </c>
      <c r="B164" s="3" t="s">
        <v>569</v>
      </c>
      <c r="C164" s="3" t="s">
        <v>163</v>
      </c>
      <c r="D164" s="3" t="s">
        <v>164</v>
      </c>
      <c r="E164" s="3" t="s">
        <v>154</v>
      </c>
      <c r="F164" s="3" t="s">
        <v>155</v>
      </c>
      <c r="G164" s="3" t="s">
        <v>37</v>
      </c>
      <c r="H164" s="3">
        <v>3</v>
      </c>
      <c r="I164" s="4">
        <v>79.989999999999995</v>
      </c>
      <c r="J164" s="3" t="s">
        <v>68</v>
      </c>
      <c r="K164" s="3" t="s">
        <v>76</v>
      </c>
      <c r="L164" s="3" t="s">
        <v>40</v>
      </c>
      <c r="M164" s="3" t="s">
        <v>386</v>
      </c>
      <c r="N164" s="4">
        <v>239.97</v>
      </c>
    </row>
    <row r="165" spans="1:14" ht="15" customHeight="1" x14ac:dyDescent="0.3">
      <c r="A165" s="5" t="s">
        <v>570</v>
      </c>
      <c r="B165" s="5" t="s">
        <v>571</v>
      </c>
      <c r="C165" s="5" t="s">
        <v>90</v>
      </c>
      <c r="D165" s="5" t="s">
        <v>91</v>
      </c>
      <c r="E165" s="5" t="s">
        <v>74</v>
      </c>
      <c r="F165" s="5" t="s">
        <v>75</v>
      </c>
      <c r="G165" s="5" t="s">
        <v>19</v>
      </c>
      <c r="H165" s="5">
        <v>2</v>
      </c>
      <c r="I165" s="6">
        <v>899.99</v>
      </c>
      <c r="J165" s="5" t="s">
        <v>20</v>
      </c>
      <c r="K165" s="5" t="s">
        <v>46</v>
      </c>
      <c r="L165" s="5" t="s">
        <v>22</v>
      </c>
      <c r="M165" s="5" t="s">
        <v>572</v>
      </c>
      <c r="N165" s="6">
        <v>1799.98</v>
      </c>
    </row>
    <row r="166" spans="1:14" ht="15" customHeight="1" x14ac:dyDescent="0.3">
      <c r="A166" s="3" t="s">
        <v>573</v>
      </c>
      <c r="B166" s="3" t="s">
        <v>574</v>
      </c>
      <c r="C166" s="3" t="s">
        <v>284</v>
      </c>
      <c r="D166" s="3" t="s">
        <v>285</v>
      </c>
      <c r="E166" s="3" t="s">
        <v>51</v>
      </c>
      <c r="F166" s="3" t="s">
        <v>52</v>
      </c>
      <c r="G166" s="3" t="s">
        <v>53</v>
      </c>
      <c r="H166" s="3">
        <v>1</v>
      </c>
      <c r="I166" s="4">
        <v>149.99</v>
      </c>
      <c r="J166" s="3" t="s">
        <v>68</v>
      </c>
      <c r="K166" s="3" t="s">
        <v>76</v>
      </c>
      <c r="L166" s="3" t="s">
        <v>40</v>
      </c>
      <c r="M166" s="3" t="s">
        <v>575</v>
      </c>
      <c r="N166" s="4">
        <v>149.99</v>
      </c>
    </row>
    <row r="167" spans="1:14" ht="15" customHeight="1" x14ac:dyDescent="0.3">
      <c r="A167" s="5" t="s">
        <v>576</v>
      </c>
      <c r="B167" s="5" t="s">
        <v>574</v>
      </c>
      <c r="C167" s="5" t="s">
        <v>196</v>
      </c>
      <c r="D167" s="5" t="s">
        <v>197</v>
      </c>
      <c r="E167" s="5" t="s">
        <v>140</v>
      </c>
      <c r="F167" s="5" t="s">
        <v>141</v>
      </c>
      <c r="G167" s="5" t="s">
        <v>53</v>
      </c>
      <c r="H167" s="5">
        <v>2</v>
      </c>
      <c r="I167" s="6">
        <v>299.99</v>
      </c>
      <c r="J167" s="5" t="s">
        <v>20</v>
      </c>
      <c r="K167" s="5" t="s">
        <v>76</v>
      </c>
      <c r="L167" s="5" t="s">
        <v>29</v>
      </c>
      <c r="M167" s="5" t="s">
        <v>577</v>
      </c>
      <c r="N167" s="6">
        <v>599.98</v>
      </c>
    </row>
    <row r="168" spans="1:14" ht="15" customHeight="1" x14ac:dyDescent="0.3">
      <c r="A168" s="3" t="s">
        <v>578</v>
      </c>
      <c r="B168" s="3" t="s">
        <v>579</v>
      </c>
      <c r="C168" s="3" t="s">
        <v>182</v>
      </c>
      <c r="D168" s="3" t="s">
        <v>183</v>
      </c>
      <c r="E168" s="3" t="s">
        <v>35</v>
      </c>
      <c r="F168" s="3" t="s">
        <v>36</v>
      </c>
      <c r="G168" s="3" t="s">
        <v>37</v>
      </c>
      <c r="H168" s="3">
        <v>2</v>
      </c>
      <c r="I168" s="4">
        <v>59.99</v>
      </c>
      <c r="J168" s="3" t="s">
        <v>20</v>
      </c>
      <c r="K168" s="3" t="s">
        <v>59</v>
      </c>
      <c r="L168" s="3" t="s">
        <v>22</v>
      </c>
      <c r="M168" s="3" t="s">
        <v>580</v>
      </c>
      <c r="N168" s="4">
        <v>119.98</v>
      </c>
    </row>
    <row r="169" spans="1:14" ht="15" customHeight="1" x14ac:dyDescent="0.3">
      <c r="A169" s="5" t="s">
        <v>581</v>
      </c>
      <c r="B169" s="5" t="s">
        <v>582</v>
      </c>
      <c r="C169" s="5" t="s">
        <v>284</v>
      </c>
      <c r="D169" s="5" t="s">
        <v>285</v>
      </c>
      <c r="E169" s="5" t="s">
        <v>158</v>
      </c>
      <c r="F169" s="5" t="s">
        <v>159</v>
      </c>
      <c r="G169" s="5" t="s">
        <v>19</v>
      </c>
      <c r="H169" s="5">
        <v>1</v>
      </c>
      <c r="I169" s="6">
        <v>89.99</v>
      </c>
      <c r="J169" s="5" t="s">
        <v>68</v>
      </c>
      <c r="K169" s="5" t="s">
        <v>21</v>
      </c>
      <c r="L169" s="5" t="s">
        <v>40</v>
      </c>
      <c r="M169" s="5" t="s">
        <v>583</v>
      </c>
      <c r="N169" s="6">
        <v>89.99</v>
      </c>
    </row>
    <row r="170" spans="1:14" ht="15" customHeight="1" x14ac:dyDescent="0.3">
      <c r="A170" s="3" t="s">
        <v>584</v>
      </c>
      <c r="B170" s="3" t="s">
        <v>582</v>
      </c>
      <c r="C170" s="3" t="s">
        <v>211</v>
      </c>
      <c r="D170" s="3" t="s">
        <v>212</v>
      </c>
      <c r="E170" s="3" t="s">
        <v>74</v>
      </c>
      <c r="F170" s="3" t="s">
        <v>75</v>
      </c>
      <c r="G170" s="3" t="s">
        <v>19</v>
      </c>
      <c r="H170" s="3">
        <v>5</v>
      </c>
      <c r="I170" s="4">
        <v>899.99</v>
      </c>
      <c r="J170" s="3" t="s">
        <v>68</v>
      </c>
      <c r="K170" s="3" t="s">
        <v>76</v>
      </c>
      <c r="L170" s="3" t="s">
        <v>40</v>
      </c>
      <c r="M170" s="3" t="s">
        <v>585</v>
      </c>
      <c r="N170" s="4">
        <v>4499.95</v>
      </c>
    </row>
    <row r="171" spans="1:14" ht="15" customHeight="1" x14ac:dyDescent="0.3">
      <c r="A171" s="5" t="s">
        <v>586</v>
      </c>
      <c r="B171" s="5" t="s">
        <v>587</v>
      </c>
      <c r="C171" s="5" t="s">
        <v>49</v>
      </c>
      <c r="D171" s="5" t="s">
        <v>50</v>
      </c>
      <c r="E171" s="5" t="s">
        <v>51</v>
      </c>
      <c r="F171" s="5" t="s">
        <v>52</v>
      </c>
      <c r="G171" s="5" t="s">
        <v>53</v>
      </c>
      <c r="H171" s="5">
        <v>2</v>
      </c>
      <c r="I171" s="6">
        <v>149.99</v>
      </c>
      <c r="J171" s="5" t="s">
        <v>20</v>
      </c>
      <c r="K171" s="5" t="s">
        <v>39</v>
      </c>
      <c r="L171" s="5" t="s">
        <v>22</v>
      </c>
      <c r="M171" s="5" t="s">
        <v>588</v>
      </c>
      <c r="N171" s="6">
        <v>299.98</v>
      </c>
    </row>
    <row r="172" spans="1:14" ht="15" customHeight="1" x14ac:dyDescent="0.3">
      <c r="A172" s="3" t="s">
        <v>589</v>
      </c>
      <c r="B172" s="3" t="s">
        <v>590</v>
      </c>
      <c r="C172" s="3" t="s">
        <v>152</v>
      </c>
      <c r="D172" s="3" t="s">
        <v>153</v>
      </c>
      <c r="E172" s="3" t="s">
        <v>62</v>
      </c>
      <c r="F172" s="3" t="s">
        <v>63</v>
      </c>
      <c r="G172" s="3" t="s">
        <v>19</v>
      </c>
      <c r="H172" s="3">
        <v>2</v>
      </c>
      <c r="I172" s="4">
        <v>149.99</v>
      </c>
      <c r="J172" s="3" t="s">
        <v>68</v>
      </c>
      <c r="K172" s="3" t="s">
        <v>59</v>
      </c>
      <c r="L172" s="3" t="s">
        <v>29</v>
      </c>
      <c r="M172" s="3" t="s">
        <v>591</v>
      </c>
      <c r="N172" s="4">
        <v>299.98</v>
      </c>
    </row>
    <row r="173" spans="1:14" ht="15" customHeight="1" x14ac:dyDescent="0.3">
      <c r="A173" s="5" t="s">
        <v>592</v>
      </c>
      <c r="B173" s="5" t="s">
        <v>590</v>
      </c>
      <c r="C173" s="5" t="s">
        <v>284</v>
      </c>
      <c r="D173" s="5" t="s">
        <v>285</v>
      </c>
      <c r="E173" s="5" t="s">
        <v>51</v>
      </c>
      <c r="F173" s="5" t="s">
        <v>52</v>
      </c>
      <c r="G173" s="5" t="s">
        <v>53</v>
      </c>
      <c r="H173" s="5">
        <v>3</v>
      </c>
      <c r="I173" s="6">
        <v>149.99</v>
      </c>
      <c r="J173" s="5" t="s">
        <v>68</v>
      </c>
      <c r="K173" s="5" t="s">
        <v>46</v>
      </c>
      <c r="L173" s="5" t="s">
        <v>40</v>
      </c>
      <c r="M173" s="5" t="s">
        <v>593</v>
      </c>
      <c r="N173" s="6">
        <v>449.97</v>
      </c>
    </row>
    <row r="174" spans="1:14" ht="15" customHeight="1" x14ac:dyDescent="0.3">
      <c r="A174" s="3" t="s">
        <v>594</v>
      </c>
      <c r="B174" s="3" t="s">
        <v>595</v>
      </c>
      <c r="C174" s="3" t="s">
        <v>33</v>
      </c>
      <c r="D174" s="3" t="s">
        <v>34</v>
      </c>
      <c r="E174" s="3" t="s">
        <v>140</v>
      </c>
      <c r="F174" s="3" t="s">
        <v>141</v>
      </c>
      <c r="G174" s="3" t="s">
        <v>53</v>
      </c>
      <c r="H174" s="3">
        <v>2</v>
      </c>
      <c r="I174" s="4">
        <v>299.99</v>
      </c>
      <c r="J174" s="3" t="s">
        <v>38</v>
      </c>
      <c r="K174" s="3" t="s">
        <v>39</v>
      </c>
      <c r="L174" s="3" t="s">
        <v>22</v>
      </c>
      <c r="M174" s="3" t="s">
        <v>596</v>
      </c>
      <c r="N174" s="4">
        <v>599.98</v>
      </c>
    </row>
    <row r="175" spans="1:14" ht="15" customHeight="1" x14ac:dyDescent="0.3">
      <c r="A175" s="5" t="s">
        <v>597</v>
      </c>
      <c r="B175" s="5" t="s">
        <v>598</v>
      </c>
      <c r="C175" s="5" t="s">
        <v>49</v>
      </c>
      <c r="D175" s="5" t="s">
        <v>50</v>
      </c>
      <c r="E175" s="5" t="s">
        <v>140</v>
      </c>
      <c r="F175" s="5" t="s">
        <v>141</v>
      </c>
      <c r="G175" s="5" t="s">
        <v>53</v>
      </c>
      <c r="H175" s="5">
        <v>2</v>
      </c>
      <c r="I175" s="6">
        <v>299.99</v>
      </c>
      <c r="J175" s="5" t="s">
        <v>20</v>
      </c>
      <c r="K175" s="5" t="s">
        <v>59</v>
      </c>
      <c r="L175" s="5" t="s">
        <v>22</v>
      </c>
      <c r="M175" s="5" t="s">
        <v>599</v>
      </c>
      <c r="N175" s="6">
        <v>599.98</v>
      </c>
    </row>
    <row r="176" spans="1:14" ht="15" customHeight="1" x14ac:dyDescent="0.3">
      <c r="A176" s="3" t="s">
        <v>600</v>
      </c>
      <c r="B176" s="3" t="s">
        <v>598</v>
      </c>
      <c r="C176" s="3" t="s">
        <v>163</v>
      </c>
      <c r="D176" s="3" t="s">
        <v>164</v>
      </c>
      <c r="E176" s="3" t="s">
        <v>172</v>
      </c>
      <c r="F176" s="3" t="s">
        <v>173</v>
      </c>
      <c r="G176" s="3" t="s">
        <v>53</v>
      </c>
      <c r="H176" s="3">
        <v>4</v>
      </c>
      <c r="I176" s="4">
        <v>199.99</v>
      </c>
      <c r="J176" s="3" t="s">
        <v>28</v>
      </c>
      <c r="K176" s="3" t="s">
        <v>21</v>
      </c>
      <c r="L176" s="3" t="s">
        <v>22</v>
      </c>
      <c r="M176" s="3" t="s">
        <v>345</v>
      </c>
      <c r="N176" s="4">
        <v>799.96</v>
      </c>
    </row>
    <row r="177" spans="1:14" ht="15" customHeight="1" x14ac:dyDescent="0.3">
      <c r="A177" s="5" t="s">
        <v>601</v>
      </c>
      <c r="B177" s="5" t="s">
        <v>602</v>
      </c>
      <c r="C177" s="5" t="s">
        <v>72</v>
      </c>
      <c r="D177" s="5" t="s">
        <v>73</v>
      </c>
      <c r="E177" s="5" t="s">
        <v>158</v>
      </c>
      <c r="F177" s="5" t="s">
        <v>159</v>
      </c>
      <c r="G177" s="5" t="s">
        <v>19</v>
      </c>
      <c r="H177" s="5">
        <v>1</v>
      </c>
      <c r="I177" s="6">
        <v>89.99</v>
      </c>
      <c r="J177" s="5" t="s">
        <v>28</v>
      </c>
      <c r="K177" s="5" t="s">
        <v>39</v>
      </c>
      <c r="L177" s="5" t="s">
        <v>29</v>
      </c>
      <c r="M177" s="5" t="s">
        <v>603</v>
      </c>
      <c r="N177" s="6">
        <v>89.99</v>
      </c>
    </row>
    <row r="178" spans="1:14" ht="15" customHeight="1" x14ac:dyDescent="0.3">
      <c r="A178" s="3" t="s">
        <v>604</v>
      </c>
      <c r="B178" s="3" t="s">
        <v>602</v>
      </c>
      <c r="C178" s="3" t="s">
        <v>145</v>
      </c>
      <c r="D178" s="3" t="s">
        <v>146</v>
      </c>
      <c r="E178" s="3" t="s">
        <v>51</v>
      </c>
      <c r="F178" s="3" t="s">
        <v>52</v>
      </c>
      <c r="G178" s="3" t="s">
        <v>53</v>
      </c>
      <c r="H178" s="3">
        <v>5</v>
      </c>
      <c r="I178" s="4">
        <v>149.99</v>
      </c>
      <c r="J178" s="3" t="s">
        <v>20</v>
      </c>
      <c r="K178" s="3" t="s">
        <v>21</v>
      </c>
      <c r="L178" s="3" t="s">
        <v>29</v>
      </c>
      <c r="M178" s="3" t="s">
        <v>605</v>
      </c>
      <c r="N178" s="4">
        <v>749.95</v>
      </c>
    </row>
    <row r="179" spans="1:14" ht="15" customHeight="1" x14ac:dyDescent="0.3">
      <c r="A179" s="5" t="s">
        <v>606</v>
      </c>
      <c r="B179" s="5" t="s">
        <v>607</v>
      </c>
      <c r="C179" s="5" t="s">
        <v>110</v>
      </c>
      <c r="D179" s="5" t="s">
        <v>111</v>
      </c>
      <c r="E179" s="5" t="s">
        <v>74</v>
      </c>
      <c r="F179" s="5" t="s">
        <v>75</v>
      </c>
      <c r="G179" s="5" t="s">
        <v>19</v>
      </c>
      <c r="H179" s="5">
        <v>1</v>
      </c>
      <c r="I179" s="6">
        <v>899.99</v>
      </c>
      <c r="J179" s="5" t="s">
        <v>38</v>
      </c>
      <c r="K179" s="5" t="s">
        <v>46</v>
      </c>
      <c r="L179" s="5" t="s">
        <v>29</v>
      </c>
      <c r="M179" s="5" t="s">
        <v>608</v>
      </c>
      <c r="N179" s="6">
        <v>899.99</v>
      </c>
    </row>
    <row r="180" spans="1:14" ht="15" customHeight="1" x14ac:dyDescent="0.3">
      <c r="A180" s="3" t="s">
        <v>609</v>
      </c>
      <c r="B180" s="3" t="s">
        <v>610</v>
      </c>
      <c r="C180" s="3" t="s">
        <v>211</v>
      </c>
      <c r="D180" s="3" t="s">
        <v>212</v>
      </c>
      <c r="E180" s="3" t="s">
        <v>158</v>
      </c>
      <c r="F180" s="3" t="s">
        <v>159</v>
      </c>
      <c r="G180" s="3" t="s">
        <v>19</v>
      </c>
      <c r="H180" s="3">
        <v>2</v>
      </c>
      <c r="I180" s="4">
        <v>89.99</v>
      </c>
      <c r="J180" s="3" t="s">
        <v>28</v>
      </c>
      <c r="K180" s="3" t="s">
        <v>39</v>
      </c>
      <c r="L180" s="3" t="s">
        <v>29</v>
      </c>
      <c r="M180" s="3" t="s">
        <v>611</v>
      </c>
      <c r="N180" s="4">
        <v>179.98</v>
      </c>
    </row>
    <row r="181" spans="1:14" ht="15" customHeight="1" x14ac:dyDescent="0.3">
      <c r="A181" s="5" t="s">
        <v>612</v>
      </c>
      <c r="B181" s="5" t="s">
        <v>613</v>
      </c>
      <c r="C181" s="5" t="s">
        <v>614</v>
      </c>
      <c r="D181" s="5" t="s">
        <v>615</v>
      </c>
      <c r="E181" s="5" t="s">
        <v>74</v>
      </c>
      <c r="F181" s="5" t="s">
        <v>75</v>
      </c>
      <c r="G181" s="5" t="s">
        <v>19</v>
      </c>
      <c r="H181" s="5">
        <v>1</v>
      </c>
      <c r="I181" s="6">
        <v>899.99</v>
      </c>
      <c r="J181" s="5" t="s">
        <v>38</v>
      </c>
      <c r="K181" s="5" t="s">
        <v>46</v>
      </c>
      <c r="L181" s="5" t="s">
        <v>40</v>
      </c>
      <c r="M181" s="5" t="s">
        <v>616</v>
      </c>
      <c r="N181" s="6">
        <v>899.99</v>
      </c>
    </row>
    <row r="182" spans="1:14" ht="15" customHeight="1" x14ac:dyDescent="0.3">
      <c r="A182" s="3" t="s">
        <v>617</v>
      </c>
      <c r="B182" s="3" t="s">
        <v>618</v>
      </c>
      <c r="C182" s="3" t="s">
        <v>177</v>
      </c>
      <c r="D182" s="3" t="s">
        <v>178</v>
      </c>
      <c r="E182" s="3" t="s">
        <v>62</v>
      </c>
      <c r="F182" s="3" t="s">
        <v>63</v>
      </c>
      <c r="G182" s="3" t="s">
        <v>19</v>
      </c>
      <c r="H182" s="3">
        <v>5</v>
      </c>
      <c r="I182" s="4">
        <v>149.99</v>
      </c>
      <c r="J182" s="3" t="s">
        <v>38</v>
      </c>
      <c r="K182" s="3" t="s">
        <v>76</v>
      </c>
      <c r="L182" s="3" t="s">
        <v>29</v>
      </c>
      <c r="M182" s="3" t="s">
        <v>190</v>
      </c>
      <c r="N182" s="4">
        <v>749.95</v>
      </c>
    </row>
    <row r="183" spans="1:14" ht="15" customHeight="1" x14ac:dyDescent="0.3">
      <c r="A183" s="5" t="s">
        <v>619</v>
      </c>
      <c r="B183" s="5" t="s">
        <v>618</v>
      </c>
      <c r="C183" s="5" t="s">
        <v>49</v>
      </c>
      <c r="D183" s="5" t="s">
        <v>50</v>
      </c>
      <c r="E183" s="5" t="s">
        <v>140</v>
      </c>
      <c r="F183" s="5" t="s">
        <v>141</v>
      </c>
      <c r="G183" s="5" t="s">
        <v>53</v>
      </c>
      <c r="H183" s="5">
        <v>3</v>
      </c>
      <c r="I183" s="6">
        <v>299.99</v>
      </c>
      <c r="J183" s="5" t="s">
        <v>20</v>
      </c>
      <c r="K183" s="5" t="s">
        <v>39</v>
      </c>
      <c r="L183" s="5" t="s">
        <v>40</v>
      </c>
      <c r="M183" s="5" t="s">
        <v>620</v>
      </c>
      <c r="N183" s="6">
        <v>899.97</v>
      </c>
    </row>
    <row r="184" spans="1:14" ht="15" customHeight="1" x14ac:dyDescent="0.3">
      <c r="A184" s="3" t="s">
        <v>621</v>
      </c>
      <c r="B184" s="3" t="s">
        <v>622</v>
      </c>
      <c r="C184" s="3" t="s">
        <v>80</v>
      </c>
      <c r="D184" s="3" t="s">
        <v>81</v>
      </c>
      <c r="E184" s="3" t="s">
        <v>101</v>
      </c>
      <c r="F184" s="3" t="s">
        <v>102</v>
      </c>
      <c r="G184" s="3" t="s">
        <v>19</v>
      </c>
      <c r="H184" s="3">
        <v>3</v>
      </c>
      <c r="I184" s="4">
        <v>699.99</v>
      </c>
      <c r="J184" s="3" t="s">
        <v>28</v>
      </c>
      <c r="K184" s="3" t="s">
        <v>21</v>
      </c>
      <c r="L184" s="3" t="s">
        <v>29</v>
      </c>
      <c r="M184" s="3" t="s">
        <v>623</v>
      </c>
      <c r="N184" s="4">
        <v>2099.9699999999998</v>
      </c>
    </row>
    <row r="185" spans="1:14" ht="15" customHeight="1" x14ac:dyDescent="0.3">
      <c r="A185" s="5" t="s">
        <v>624</v>
      </c>
      <c r="B185" s="5" t="s">
        <v>625</v>
      </c>
      <c r="C185" s="5" t="s">
        <v>145</v>
      </c>
      <c r="D185" s="5" t="s">
        <v>146</v>
      </c>
      <c r="E185" s="5" t="s">
        <v>172</v>
      </c>
      <c r="F185" s="5" t="s">
        <v>173</v>
      </c>
      <c r="G185" s="5" t="s">
        <v>53</v>
      </c>
      <c r="H185" s="5">
        <v>5</v>
      </c>
      <c r="I185" s="6">
        <v>199.99</v>
      </c>
      <c r="J185" s="5" t="s">
        <v>38</v>
      </c>
      <c r="K185" s="5" t="s">
        <v>21</v>
      </c>
      <c r="L185" s="5" t="s">
        <v>40</v>
      </c>
      <c r="M185" s="5" t="s">
        <v>626</v>
      </c>
      <c r="N185" s="6">
        <v>999.95</v>
      </c>
    </row>
    <row r="186" spans="1:14" ht="15" customHeight="1" x14ac:dyDescent="0.3">
      <c r="A186" s="3" t="s">
        <v>627</v>
      </c>
      <c r="B186" s="3" t="s">
        <v>625</v>
      </c>
      <c r="C186" s="3" t="s">
        <v>120</v>
      </c>
      <c r="D186" s="3" t="s">
        <v>121</v>
      </c>
      <c r="E186" s="3" t="s">
        <v>17</v>
      </c>
      <c r="F186" s="3" t="s">
        <v>18</v>
      </c>
      <c r="G186" s="3" t="s">
        <v>19</v>
      </c>
      <c r="H186" s="3">
        <v>5</v>
      </c>
      <c r="I186" s="4">
        <v>249.99</v>
      </c>
      <c r="J186" s="3" t="s">
        <v>28</v>
      </c>
      <c r="K186" s="3" t="s">
        <v>39</v>
      </c>
      <c r="L186" s="3" t="s">
        <v>22</v>
      </c>
      <c r="M186" s="3" t="s">
        <v>628</v>
      </c>
      <c r="N186" s="4">
        <v>1249.95</v>
      </c>
    </row>
    <row r="187" spans="1:14" ht="15" customHeight="1" x14ac:dyDescent="0.3">
      <c r="A187" s="5" t="s">
        <v>629</v>
      </c>
      <c r="B187" s="5" t="s">
        <v>630</v>
      </c>
      <c r="C187" s="5" t="s">
        <v>196</v>
      </c>
      <c r="D187" s="5" t="s">
        <v>197</v>
      </c>
      <c r="E187" s="5" t="s">
        <v>62</v>
      </c>
      <c r="F187" s="5" t="s">
        <v>63</v>
      </c>
      <c r="G187" s="5" t="s">
        <v>19</v>
      </c>
      <c r="H187" s="5">
        <v>4</v>
      </c>
      <c r="I187" s="6">
        <v>149.99</v>
      </c>
      <c r="J187" s="5" t="s">
        <v>68</v>
      </c>
      <c r="K187" s="5" t="s">
        <v>76</v>
      </c>
      <c r="L187" s="5" t="s">
        <v>40</v>
      </c>
      <c r="M187" s="5" t="s">
        <v>631</v>
      </c>
      <c r="N187" s="6">
        <v>599.96</v>
      </c>
    </row>
    <row r="188" spans="1:14" ht="15" customHeight="1" x14ac:dyDescent="0.3">
      <c r="A188" s="3" t="s">
        <v>632</v>
      </c>
      <c r="B188" s="3" t="s">
        <v>630</v>
      </c>
      <c r="C188" s="3" t="s">
        <v>99</v>
      </c>
      <c r="D188" s="3" t="s">
        <v>100</v>
      </c>
      <c r="E188" s="3" t="s">
        <v>101</v>
      </c>
      <c r="F188" s="3" t="s">
        <v>102</v>
      </c>
      <c r="G188" s="3" t="s">
        <v>19</v>
      </c>
      <c r="H188" s="3">
        <v>3</v>
      </c>
      <c r="I188" s="4">
        <v>699.99</v>
      </c>
      <c r="J188" s="3" t="s">
        <v>20</v>
      </c>
      <c r="K188" s="3" t="s">
        <v>46</v>
      </c>
      <c r="L188" s="3" t="s">
        <v>29</v>
      </c>
      <c r="M188" s="3" t="s">
        <v>633</v>
      </c>
      <c r="N188" s="4">
        <v>2099.9699999999998</v>
      </c>
    </row>
    <row r="189" spans="1:14" ht="15" customHeight="1" x14ac:dyDescent="0.3">
      <c r="A189" s="5" t="s">
        <v>634</v>
      </c>
      <c r="B189" s="5" t="s">
        <v>635</v>
      </c>
      <c r="C189" s="5" t="s">
        <v>539</v>
      </c>
      <c r="D189" s="5" t="s">
        <v>540</v>
      </c>
      <c r="E189" s="5" t="s">
        <v>154</v>
      </c>
      <c r="F189" s="5" t="s">
        <v>155</v>
      </c>
      <c r="G189" s="5" t="s">
        <v>37</v>
      </c>
      <c r="H189" s="5">
        <v>1</v>
      </c>
      <c r="I189" s="6">
        <v>79.989999999999995</v>
      </c>
      <c r="J189" s="5" t="s">
        <v>28</v>
      </c>
      <c r="K189" s="5" t="s">
        <v>39</v>
      </c>
      <c r="L189" s="5" t="s">
        <v>22</v>
      </c>
      <c r="M189" s="5" t="s">
        <v>636</v>
      </c>
      <c r="N189" s="6">
        <v>79.989999999999995</v>
      </c>
    </row>
    <row r="190" spans="1:14" ht="15" customHeight="1" x14ac:dyDescent="0.3">
      <c r="A190" s="3" t="s">
        <v>637</v>
      </c>
      <c r="B190" s="3" t="s">
        <v>635</v>
      </c>
      <c r="C190" s="3" t="s">
        <v>110</v>
      </c>
      <c r="D190" s="3" t="s">
        <v>111</v>
      </c>
      <c r="E190" s="3" t="s">
        <v>140</v>
      </c>
      <c r="F190" s="3" t="s">
        <v>141</v>
      </c>
      <c r="G190" s="3" t="s">
        <v>53</v>
      </c>
      <c r="H190" s="3">
        <v>1</v>
      </c>
      <c r="I190" s="4">
        <v>299.99</v>
      </c>
      <c r="J190" s="3" t="s">
        <v>28</v>
      </c>
      <c r="K190" s="3" t="s">
        <v>46</v>
      </c>
      <c r="L190" s="3" t="s">
        <v>22</v>
      </c>
      <c r="M190" s="3" t="s">
        <v>638</v>
      </c>
      <c r="N190" s="4">
        <v>299.99</v>
      </c>
    </row>
    <row r="191" spans="1:14" ht="15" customHeight="1" x14ac:dyDescent="0.3">
      <c r="A191" s="5" t="s">
        <v>639</v>
      </c>
      <c r="B191" s="5" t="s">
        <v>640</v>
      </c>
      <c r="C191" s="5" t="s">
        <v>230</v>
      </c>
      <c r="D191" s="5" t="s">
        <v>231</v>
      </c>
      <c r="E191" s="5" t="s">
        <v>17</v>
      </c>
      <c r="F191" s="5" t="s">
        <v>18</v>
      </c>
      <c r="G191" s="5" t="s">
        <v>19</v>
      </c>
      <c r="H191" s="5">
        <v>4</v>
      </c>
      <c r="I191" s="6">
        <v>249.99</v>
      </c>
      <c r="J191" s="5" t="s">
        <v>28</v>
      </c>
      <c r="K191" s="5" t="s">
        <v>46</v>
      </c>
      <c r="L191" s="5" t="s">
        <v>29</v>
      </c>
      <c r="M191" s="5" t="s">
        <v>457</v>
      </c>
      <c r="N191" s="6">
        <v>999.96</v>
      </c>
    </row>
    <row r="192" spans="1:14" ht="15" customHeight="1" x14ac:dyDescent="0.3">
      <c r="A192" s="3" t="s">
        <v>641</v>
      </c>
      <c r="B192" s="3" t="s">
        <v>640</v>
      </c>
      <c r="C192" s="3" t="s">
        <v>163</v>
      </c>
      <c r="D192" s="3" t="s">
        <v>164</v>
      </c>
      <c r="E192" s="3" t="s">
        <v>62</v>
      </c>
      <c r="F192" s="3" t="s">
        <v>63</v>
      </c>
      <c r="G192" s="3" t="s">
        <v>19</v>
      </c>
      <c r="H192" s="3">
        <v>2</v>
      </c>
      <c r="I192" s="4">
        <v>149.99</v>
      </c>
      <c r="J192" s="3" t="s">
        <v>20</v>
      </c>
      <c r="K192" s="3" t="s">
        <v>46</v>
      </c>
      <c r="L192" s="3" t="s">
        <v>40</v>
      </c>
      <c r="M192" s="3" t="s">
        <v>642</v>
      </c>
      <c r="N192" s="4">
        <v>299.98</v>
      </c>
    </row>
    <row r="193" spans="1:14" ht="15" customHeight="1" x14ac:dyDescent="0.3">
      <c r="A193" s="5" t="s">
        <v>643</v>
      </c>
      <c r="B193" s="5" t="s">
        <v>640</v>
      </c>
      <c r="C193" s="5" t="s">
        <v>398</v>
      </c>
      <c r="D193" s="5" t="s">
        <v>399</v>
      </c>
      <c r="E193" s="5" t="s">
        <v>140</v>
      </c>
      <c r="F193" s="5" t="s">
        <v>141</v>
      </c>
      <c r="G193" s="5" t="s">
        <v>53</v>
      </c>
      <c r="H193" s="5">
        <v>3</v>
      </c>
      <c r="I193" s="6">
        <v>299.99</v>
      </c>
      <c r="J193" s="5" t="s">
        <v>28</v>
      </c>
      <c r="K193" s="5" t="s">
        <v>39</v>
      </c>
      <c r="L193" s="5" t="s">
        <v>22</v>
      </c>
      <c r="M193" s="5" t="s">
        <v>644</v>
      </c>
      <c r="N193" s="6">
        <v>899.97</v>
      </c>
    </row>
    <row r="194" spans="1:14" ht="15" customHeight="1" x14ac:dyDescent="0.3">
      <c r="A194" s="3" t="s">
        <v>645</v>
      </c>
      <c r="B194" s="3" t="s">
        <v>646</v>
      </c>
      <c r="C194" s="3" t="s">
        <v>384</v>
      </c>
      <c r="D194" s="3" t="s">
        <v>385</v>
      </c>
      <c r="E194" s="3" t="s">
        <v>172</v>
      </c>
      <c r="F194" s="3" t="s">
        <v>173</v>
      </c>
      <c r="G194" s="3" t="s">
        <v>53</v>
      </c>
      <c r="H194" s="3">
        <v>4</v>
      </c>
      <c r="I194" s="4">
        <v>199.99</v>
      </c>
      <c r="J194" s="3" t="s">
        <v>68</v>
      </c>
      <c r="K194" s="3" t="s">
        <v>39</v>
      </c>
      <c r="L194" s="3" t="s">
        <v>40</v>
      </c>
      <c r="M194" s="3" t="s">
        <v>647</v>
      </c>
      <c r="N194" s="4">
        <v>799.96</v>
      </c>
    </row>
    <row r="195" spans="1:14" ht="15" customHeight="1" x14ac:dyDescent="0.3">
      <c r="A195" s="5" t="s">
        <v>648</v>
      </c>
      <c r="B195" s="5" t="s">
        <v>646</v>
      </c>
      <c r="C195" s="5" t="s">
        <v>348</v>
      </c>
      <c r="D195" s="5" t="s">
        <v>349</v>
      </c>
      <c r="E195" s="5" t="s">
        <v>140</v>
      </c>
      <c r="F195" s="5" t="s">
        <v>141</v>
      </c>
      <c r="G195" s="5" t="s">
        <v>53</v>
      </c>
      <c r="H195" s="5">
        <v>5</v>
      </c>
      <c r="I195" s="6">
        <v>299.99</v>
      </c>
      <c r="J195" s="5" t="s">
        <v>68</v>
      </c>
      <c r="K195" s="5" t="s">
        <v>21</v>
      </c>
      <c r="L195" s="5" t="s">
        <v>22</v>
      </c>
      <c r="M195" s="5" t="s">
        <v>649</v>
      </c>
      <c r="N195" s="6">
        <v>1499.95</v>
      </c>
    </row>
    <row r="196" spans="1:14" ht="15" customHeight="1" x14ac:dyDescent="0.3">
      <c r="A196" s="3" t="s">
        <v>650</v>
      </c>
      <c r="B196" s="3" t="s">
        <v>646</v>
      </c>
      <c r="C196" s="3" t="s">
        <v>72</v>
      </c>
      <c r="D196" s="3" t="s">
        <v>73</v>
      </c>
      <c r="E196" s="3" t="s">
        <v>51</v>
      </c>
      <c r="F196" s="3" t="s">
        <v>52</v>
      </c>
      <c r="G196" s="3" t="s">
        <v>53</v>
      </c>
      <c r="H196" s="3">
        <v>3</v>
      </c>
      <c r="I196" s="4">
        <v>149.99</v>
      </c>
      <c r="J196" s="3" t="s">
        <v>28</v>
      </c>
      <c r="K196" s="3" t="s">
        <v>76</v>
      </c>
      <c r="L196" s="3" t="s">
        <v>40</v>
      </c>
      <c r="M196" s="3" t="s">
        <v>651</v>
      </c>
      <c r="N196" s="4">
        <v>449.97</v>
      </c>
    </row>
    <row r="197" spans="1:14" ht="15" customHeight="1" x14ac:dyDescent="0.3">
      <c r="A197" s="5" t="s">
        <v>652</v>
      </c>
      <c r="B197" s="5" t="s">
        <v>653</v>
      </c>
      <c r="C197" s="5" t="s">
        <v>177</v>
      </c>
      <c r="D197" s="5" t="s">
        <v>178</v>
      </c>
      <c r="E197" s="5" t="s">
        <v>35</v>
      </c>
      <c r="F197" s="5" t="s">
        <v>36</v>
      </c>
      <c r="G197" s="5" t="s">
        <v>37</v>
      </c>
      <c r="H197" s="5">
        <v>5</v>
      </c>
      <c r="I197" s="6">
        <v>59.99</v>
      </c>
      <c r="J197" s="5" t="s">
        <v>68</v>
      </c>
      <c r="K197" s="5" t="s">
        <v>76</v>
      </c>
      <c r="L197" s="5" t="s">
        <v>22</v>
      </c>
      <c r="M197" s="5" t="s">
        <v>654</v>
      </c>
      <c r="N197" s="6">
        <v>299.95</v>
      </c>
    </row>
    <row r="198" spans="1:14" ht="15" customHeight="1" x14ac:dyDescent="0.3">
      <c r="A198" s="3" t="s">
        <v>655</v>
      </c>
      <c r="B198" s="3" t="s">
        <v>656</v>
      </c>
      <c r="C198" s="3" t="s">
        <v>84</v>
      </c>
      <c r="D198" s="3" t="s">
        <v>85</v>
      </c>
      <c r="E198" s="3" t="s">
        <v>35</v>
      </c>
      <c r="F198" s="3" t="s">
        <v>36</v>
      </c>
      <c r="G198" s="3" t="s">
        <v>37</v>
      </c>
      <c r="H198" s="3">
        <v>4</v>
      </c>
      <c r="I198" s="4">
        <v>59.99</v>
      </c>
      <c r="J198" s="3" t="s">
        <v>68</v>
      </c>
      <c r="K198" s="3" t="s">
        <v>76</v>
      </c>
      <c r="L198" s="3" t="s">
        <v>40</v>
      </c>
      <c r="M198" s="3" t="s">
        <v>611</v>
      </c>
      <c r="N198" s="4">
        <v>239.96</v>
      </c>
    </row>
    <row r="199" spans="1:14" ht="15" customHeight="1" x14ac:dyDescent="0.3">
      <c r="A199" s="5" t="s">
        <v>657</v>
      </c>
      <c r="B199" s="5" t="s">
        <v>658</v>
      </c>
      <c r="C199" s="5" t="s">
        <v>57</v>
      </c>
      <c r="D199" s="5" t="s">
        <v>58</v>
      </c>
      <c r="E199" s="5" t="s">
        <v>17</v>
      </c>
      <c r="F199" s="5" t="s">
        <v>18</v>
      </c>
      <c r="G199" s="5" t="s">
        <v>19</v>
      </c>
      <c r="H199" s="5">
        <v>4</v>
      </c>
      <c r="I199" s="6">
        <v>249.99</v>
      </c>
      <c r="J199" s="5" t="s">
        <v>68</v>
      </c>
      <c r="K199" s="5" t="s">
        <v>21</v>
      </c>
      <c r="L199" s="5" t="s">
        <v>29</v>
      </c>
      <c r="M199" s="5" t="s">
        <v>659</v>
      </c>
      <c r="N199" s="6">
        <v>999.96</v>
      </c>
    </row>
    <row r="200" spans="1:14" ht="15" customHeight="1" x14ac:dyDescent="0.3">
      <c r="A200" s="3" t="s">
        <v>660</v>
      </c>
      <c r="B200" s="3" t="s">
        <v>661</v>
      </c>
      <c r="C200" s="3" t="s">
        <v>436</v>
      </c>
      <c r="D200" s="3" t="s">
        <v>437</v>
      </c>
      <c r="E200" s="3" t="s">
        <v>74</v>
      </c>
      <c r="F200" s="3" t="s">
        <v>75</v>
      </c>
      <c r="G200" s="3" t="s">
        <v>19</v>
      </c>
      <c r="H200" s="3">
        <v>4</v>
      </c>
      <c r="I200" s="4">
        <v>899.99</v>
      </c>
      <c r="J200" s="3" t="s">
        <v>38</v>
      </c>
      <c r="K200" s="3" t="s">
        <v>21</v>
      </c>
      <c r="L200" s="3" t="s">
        <v>22</v>
      </c>
      <c r="M200" s="3" t="s">
        <v>662</v>
      </c>
      <c r="N200" s="4">
        <v>3599.96</v>
      </c>
    </row>
    <row r="201" spans="1:14" ht="15" customHeight="1" x14ac:dyDescent="0.3">
      <c r="A201" s="5" t="s">
        <v>663</v>
      </c>
      <c r="B201" s="5" t="s">
        <v>661</v>
      </c>
      <c r="C201" s="5" t="s">
        <v>110</v>
      </c>
      <c r="D201" s="5" t="s">
        <v>111</v>
      </c>
      <c r="E201" s="5" t="s">
        <v>140</v>
      </c>
      <c r="F201" s="5" t="s">
        <v>141</v>
      </c>
      <c r="G201" s="5" t="s">
        <v>53</v>
      </c>
      <c r="H201" s="5">
        <v>3</v>
      </c>
      <c r="I201" s="6">
        <v>299.99</v>
      </c>
      <c r="J201" s="5" t="s">
        <v>68</v>
      </c>
      <c r="K201" s="5" t="s">
        <v>59</v>
      </c>
      <c r="L201" s="5" t="s">
        <v>40</v>
      </c>
      <c r="M201" s="5" t="s">
        <v>664</v>
      </c>
      <c r="N201" s="6">
        <v>899.97</v>
      </c>
    </row>
    <row r="202" spans="1:14" ht="15" customHeight="1" x14ac:dyDescent="0.3">
      <c r="A202" s="3" t="s">
        <v>665</v>
      </c>
      <c r="B202" s="3" t="s">
        <v>661</v>
      </c>
      <c r="C202" s="3" t="s">
        <v>539</v>
      </c>
      <c r="D202" s="3" t="s">
        <v>540</v>
      </c>
      <c r="E202" s="3" t="s">
        <v>101</v>
      </c>
      <c r="F202" s="3" t="s">
        <v>102</v>
      </c>
      <c r="G202" s="3" t="s">
        <v>19</v>
      </c>
      <c r="H202" s="3">
        <v>2</v>
      </c>
      <c r="I202" s="4">
        <v>699.99</v>
      </c>
      <c r="J202" s="3" t="s">
        <v>68</v>
      </c>
      <c r="K202" s="3" t="s">
        <v>21</v>
      </c>
      <c r="L202" s="3" t="s">
        <v>29</v>
      </c>
      <c r="M202" s="3" t="s">
        <v>666</v>
      </c>
      <c r="N202" s="4">
        <v>1399.98</v>
      </c>
    </row>
    <row r="203" spans="1:14" ht="15" customHeight="1" x14ac:dyDescent="0.3">
      <c r="A203" s="5" t="s">
        <v>667</v>
      </c>
      <c r="B203" s="5" t="s">
        <v>668</v>
      </c>
      <c r="C203" s="5" t="s">
        <v>80</v>
      </c>
      <c r="D203" s="5" t="s">
        <v>81</v>
      </c>
      <c r="E203" s="5" t="s">
        <v>101</v>
      </c>
      <c r="F203" s="5" t="s">
        <v>102</v>
      </c>
      <c r="G203" s="5" t="s">
        <v>19</v>
      </c>
      <c r="H203" s="5">
        <v>4</v>
      </c>
      <c r="I203" s="6">
        <v>699.99</v>
      </c>
      <c r="J203" s="5" t="s">
        <v>68</v>
      </c>
      <c r="K203" s="5" t="s">
        <v>59</v>
      </c>
      <c r="L203" s="5" t="s">
        <v>29</v>
      </c>
      <c r="M203" s="5" t="s">
        <v>669</v>
      </c>
      <c r="N203" s="6">
        <v>2799.96</v>
      </c>
    </row>
    <row r="204" spans="1:14" ht="15" customHeight="1" x14ac:dyDescent="0.3">
      <c r="A204" s="3" t="s">
        <v>670</v>
      </c>
      <c r="B204" s="3" t="s">
        <v>668</v>
      </c>
      <c r="C204" s="3" t="s">
        <v>168</v>
      </c>
      <c r="D204" s="3" t="s">
        <v>169</v>
      </c>
      <c r="E204" s="3" t="s">
        <v>158</v>
      </c>
      <c r="F204" s="3" t="s">
        <v>159</v>
      </c>
      <c r="G204" s="3" t="s">
        <v>19</v>
      </c>
      <c r="H204" s="3">
        <v>2</v>
      </c>
      <c r="I204" s="4">
        <v>89.99</v>
      </c>
      <c r="J204" s="3" t="s">
        <v>68</v>
      </c>
      <c r="K204" s="3" t="s">
        <v>39</v>
      </c>
      <c r="L204" s="3" t="s">
        <v>22</v>
      </c>
      <c r="M204" s="3" t="s">
        <v>671</v>
      </c>
      <c r="N204" s="4">
        <v>179.98</v>
      </c>
    </row>
    <row r="205" spans="1:14" ht="15" customHeight="1" x14ac:dyDescent="0.3">
      <c r="A205" s="5" t="s">
        <v>672</v>
      </c>
      <c r="B205" s="5" t="s">
        <v>668</v>
      </c>
      <c r="C205" s="5" t="s">
        <v>49</v>
      </c>
      <c r="D205" s="5" t="s">
        <v>50</v>
      </c>
      <c r="E205" s="5" t="s">
        <v>158</v>
      </c>
      <c r="F205" s="5" t="s">
        <v>159</v>
      </c>
      <c r="G205" s="5" t="s">
        <v>19</v>
      </c>
      <c r="H205" s="5">
        <v>3</v>
      </c>
      <c r="I205" s="6">
        <v>89.99</v>
      </c>
      <c r="J205" s="5" t="s">
        <v>68</v>
      </c>
      <c r="K205" s="5" t="s">
        <v>39</v>
      </c>
      <c r="L205" s="5" t="s">
        <v>29</v>
      </c>
      <c r="M205" s="5" t="s">
        <v>673</v>
      </c>
      <c r="N205" s="6">
        <v>269.97000000000003</v>
      </c>
    </row>
    <row r="206" spans="1:14" ht="15" customHeight="1" x14ac:dyDescent="0.3">
      <c r="A206" s="3" t="s">
        <v>674</v>
      </c>
      <c r="B206" s="3" t="s">
        <v>675</v>
      </c>
      <c r="C206" s="3" t="s">
        <v>614</v>
      </c>
      <c r="D206" s="3" t="s">
        <v>615</v>
      </c>
      <c r="E206" s="3" t="s">
        <v>35</v>
      </c>
      <c r="F206" s="3" t="s">
        <v>36</v>
      </c>
      <c r="G206" s="3" t="s">
        <v>37</v>
      </c>
      <c r="H206" s="3">
        <v>1</v>
      </c>
      <c r="I206" s="4">
        <v>59.99</v>
      </c>
      <c r="J206" s="3" t="s">
        <v>68</v>
      </c>
      <c r="K206" s="3" t="s">
        <v>21</v>
      </c>
      <c r="L206" s="3" t="s">
        <v>40</v>
      </c>
      <c r="M206" s="3" t="s">
        <v>676</v>
      </c>
      <c r="N206" s="4">
        <v>59.99</v>
      </c>
    </row>
    <row r="207" spans="1:14" ht="15" customHeight="1" x14ac:dyDescent="0.3">
      <c r="A207" s="5" t="s">
        <v>677</v>
      </c>
      <c r="B207" s="5" t="s">
        <v>678</v>
      </c>
      <c r="C207" s="5" t="s">
        <v>427</v>
      </c>
      <c r="D207" s="5" t="s">
        <v>428</v>
      </c>
      <c r="E207" s="5" t="s">
        <v>51</v>
      </c>
      <c r="F207" s="5" t="s">
        <v>52</v>
      </c>
      <c r="G207" s="5" t="s">
        <v>53</v>
      </c>
      <c r="H207" s="5">
        <v>3</v>
      </c>
      <c r="I207" s="6">
        <v>149.99</v>
      </c>
      <c r="J207" s="5" t="s">
        <v>68</v>
      </c>
      <c r="K207" s="5" t="s">
        <v>46</v>
      </c>
      <c r="L207" s="5" t="s">
        <v>29</v>
      </c>
      <c r="M207" s="5" t="s">
        <v>611</v>
      </c>
      <c r="N207" s="6">
        <v>449.97</v>
      </c>
    </row>
    <row r="208" spans="1:14" ht="15" customHeight="1" x14ac:dyDescent="0.3">
      <c r="A208" s="3" t="s">
        <v>679</v>
      </c>
      <c r="B208" s="3" t="s">
        <v>678</v>
      </c>
      <c r="C208" s="3" t="s">
        <v>120</v>
      </c>
      <c r="D208" s="3" t="s">
        <v>121</v>
      </c>
      <c r="E208" s="3" t="s">
        <v>140</v>
      </c>
      <c r="F208" s="3" t="s">
        <v>141</v>
      </c>
      <c r="G208" s="3" t="s">
        <v>53</v>
      </c>
      <c r="H208" s="3">
        <v>5</v>
      </c>
      <c r="I208" s="4">
        <v>299.99</v>
      </c>
      <c r="J208" s="3" t="s">
        <v>28</v>
      </c>
      <c r="K208" s="3" t="s">
        <v>39</v>
      </c>
      <c r="L208" s="3" t="s">
        <v>22</v>
      </c>
      <c r="M208" s="3" t="s">
        <v>680</v>
      </c>
      <c r="N208" s="4">
        <v>1499.95</v>
      </c>
    </row>
    <row r="209" spans="1:14" ht="15" customHeight="1" x14ac:dyDescent="0.3">
      <c r="A209" s="5" t="s">
        <v>681</v>
      </c>
      <c r="B209" s="5" t="s">
        <v>682</v>
      </c>
      <c r="C209" s="5" t="s">
        <v>216</v>
      </c>
      <c r="D209" s="5" t="s">
        <v>217</v>
      </c>
      <c r="E209" s="5" t="s">
        <v>35</v>
      </c>
      <c r="F209" s="5" t="s">
        <v>36</v>
      </c>
      <c r="G209" s="5" t="s">
        <v>37</v>
      </c>
      <c r="H209" s="5">
        <v>5</v>
      </c>
      <c r="I209" s="6">
        <v>59.99</v>
      </c>
      <c r="J209" s="5" t="s">
        <v>68</v>
      </c>
      <c r="K209" s="5" t="s">
        <v>21</v>
      </c>
      <c r="L209" s="5" t="s">
        <v>40</v>
      </c>
      <c r="M209" s="5" t="s">
        <v>683</v>
      </c>
      <c r="N209" s="6">
        <v>299.95</v>
      </c>
    </row>
    <row r="210" spans="1:14" ht="15" customHeight="1" x14ac:dyDescent="0.3">
      <c r="A210" s="3" t="s">
        <v>684</v>
      </c>
      <c r="B210" s="3" t="s">
        <v>685</v>
      </c>
      <c r="C210" s="3" t="s">
        <v>145</v>
      </c>
      <c r="D210" s="3" t="s">
        <v>146</v>
      </c>
      <c r="E210" s="3" t="s">
        <v>154</v>
      </c>
      <c r="F210" s="3" t="s">
        <v>155</v>
      </c>
      <c r="G210" s="3" t="s">
        <v>37</v>
      </c>
      <c r="H210" s="3">
        <v>3</v>
      </c>
      <c r="I210" s="4">
        <v>79.989999999999995</v>
      </c>
      <c r="J210" s="3" t="s">
        <v>20</v>
      </c>
      <c r="K210" s="3" t="s">
        <v>76</v>
      </c>
      <c r="L210" s="3" t="s">
        <v>29</v>
      </c>
      <c r="M210" s="3" t="s">
        <v>638</v>
      </c>
      <c r="N210" s="4">
        <v>239.97</v>
      </c>
    </row>
    <row r="211" spans="1:14" ht="15" customHeight="1" x14ac:dyDescent="0.3">
      <c r="A211" s="5" t="s">
        <v>686</v>
      </c>
      <c r="B211" s="5" t="s">
        <v>687</v>
      </c>
      <c r="C211" s="5" t="s">
        <v>33</v>
      </c>
      <c r="D211" s="5" t="s">
        <v>34</v>
      </c>
      <c r="E211" s="5" t="s">
        <v>172</v>
      </c>
      <c r="F211" s="5" t="s">
        <v>173</v>
      </c>
      <c r="G211" s="5" t="s">
        <v>53</v>
      </c>
      <c r="H211" s="5">
        <v>3</v>
      </c>
      <c r="I211" s="6">
        <v>199.99</v>
      </c>
      <c r="J211" s="5" t="s">
        <v>20</v>
      </c>
      <c r="K211" s="5" t="s">
        <v>21</v>
      </c>
      <c r="L211" s="5" t="s">
        <v>22</v>
      </c>
      <c r="M211" s="5" t="s">
        <v>688</v>
      </c>
      <c r="N211" s="6">
        <v>599.97</v>
      </c>
    </row>
    <row r="212" spans="1:14" ht="15" customHeight="1" x14ac:dyDescent="0.3">
      <c r="A212" s="3" t="s">
        <v>689</v>
      </c>
      <c r="B212" s="3" t="s">
        <v>687</v>
      </c>
      <c r="C212" s="3" t="s">
        <v>15</v>
      </c>
      <c r="D212" s="3" t="s">
        <v>16</v>
      </c>
      <c r="E212" s="3" t="s">
        <v>158</v>
      </c>
      <c r="F212" s="3" t="s">
        <v>159</v>
      </c>
      <c r="G212" s="3" t="s">
        <v>19</v>
      </c>
      <c r="H212" s="3">
        <v>2</v>
      </c>
      <c r="I212" s="4">
        <v>89.99</v>
      </c>
      <c r="J212" s="3" t="s">
        <v>38</v>
      </c>
      <c r="K212" s="3" t="s">
        <v>21</v>
      </c>
      <c r="L212" s="3" t="s">
        <v>22</v>
      </c>
      <c r="M212" s="3" t="s">
        <v>690</v>
      </c>
      <c r="N212" s="4">
        <v>179.98</v>
      </c>
    </row>
    <row r="213" spans="1:14" ht="15" customHeight="1" x14ac:dyDescent="0.3">
      <c r="A213" s="5" t="s">
        <v>691</v>
      </c>
      <c r="B213" s="5" t="s">
        <v>692</v>
      </c>
      <c r="C213" s="5" t="s">
        <v>452</v>
      </c>
      <c r="D213" s="5" t="s">
        <v>453</v>
      </c>
      <c r="E213" s="5" t="s">
        <v>51</v>
      </c>
      <c r="F213" s="5" t="s">
        <v>52</v>
      </c>
      <c r="G213" s="5" t="s">
        <v>53</v>
      </c>
      <c r="H213" s="5">
        <v>2</v>
      </c>
      <c r="I213" s="6">
        <v>149.99</v>
      </c>
      <c r="J213" s="5" t="s">
        <v>20</v>
      </c>
      <c r="K213" s="5" t="s">
        <v>39</v>
      </c>
      <c r="L213" s="5" t="s">
        <v>29</v>
      </c>
      <c r="M213" s="5" t="s">
        <v>693</v>
      </c>
      <c r="N213" s="6">
        <v>299.98</v>
      </c>
    </row>
    <row r="214" spans="1:14" ht="15" customHeight="1" x14ac:dyDescent="0.3">
      <c r="A214" s="3" t="s">
        <v>694</v>
      </c>
      <c r="B214" s="3" t="s">
        <v>695</v>
      </c>
      <c r="C214" s="3" t="s">
        <v>168</v>
      </c>
      <c r="D214" s="3" t="s">
        <v>169</v>
      </c>
      <c r="E214" s="3" t="s">
        <v>101</v>
      </c>
      <c r="F214" s="3" t="s">
        <v>102</v>
      </c>
      <c r="G214" s="3" t="s">
        <v>19</v>
      </c>
      <c r="H214" s="3">
        <v>5</v>
      </c>
      <c r="I214" s="4">
        <v>699.99</v>
      </c>
      <c r="J214" s="3" t="s">
        <v>38</v>
      </c>
      <c r="K214" s="3" t="s">
        <v>39</v>
      </c>
      <c r="L214" s="3" t="s">
        <v>29</v>
      </c>
      <c r="M214" s="3" t="s">
        <v>263</v>
      </c>
      <c r="N214" s="4">
        <v>3499.95</v>
      </c>
    </row>
    <row r="215" spans="1:14" ht="15" customHeight="1" x14ac:dyDescent="0.3">
      <c r="A215" s="5" t="s">
        <v>696</v>
      </c>
      <c r="B215" s="5" t="s">
        <v>695</v>
      </c>
      <c r="C215" s="5" t="s">
        <v>49</v>
      </c>
      <c r="D215" s="5" t="s">
        <v>50</v>
      </c>
      <c r="E215" s="5" t="s">
        <v>51</v>
      </c>
      <c r="F215" s="5" t="s">
        <v>52</v>
      </c>
      <c r="G215" s="5" t="s">
        <v>53</v>
      </c>
      <c r="H215" s="5">
        <v>3</v>
      </c>
      <c r="I215" s="6">
        <v>149.99</v>
      </c>
      <c r="J215" s="5" t="s">
        <v>38</v>
      </c>
      <c r="K215" s="5" t="s">
        <v>21</v>
      </c>
      <c r="L215" s="5" t="s">
        <v>40</v>
      </c>
      <c r="M215" s="5" t="s">
        <v>626</v>
      </c>
      <c r="N215" s="6">
        <v>449.97</v>
      </c>
    </row>
    <row r="216" spans="1:14" ht="15" customHeight="1" x14ac:dyDescent="0.3">
      <c r="A216" s="3" t="s">
        <v>697</v>
      </c>
      <c r="B216" s="3" t="s">
        <v>698</v>
      </c>
      <c r="C216" s="3" t="s">
        <v>125</v>
      </c>
      <c r="D216" s="3" t="s">
        <v>126</v>
      </c>
      <c r="E216" s="3" t="s">
        <v>74</v>
      </c>
      <c r="F216" s="3" t="s">
        <v>75</v>
      </c>
      <c r="G216" s="3" t="s">
        <v>19</v>
      </c>
      <c r="H216" s="3">
        <v>3</v>
      </c>
      <c r="I216" s="4">
        <v>899.99</v>
      </c>
      <c r="J216" s="3" t="s">
        <v>20</v>
      </c>
      <c r="K216" s="3" t="s">
        <v>76</v>
      </c>
      <c r="L216" s="3" t="s">
        <v>40</v>
      </c>
      <c r="M216" s="3" t="s">
        <v>699</v>
      </c>
      <c r="N216" s="4">
        <v>2699.97</v>
      </c>
    </row>
    <row r="217" spans="1:14" ht="15" customHeight="1" x14ac:dyDescent="0.3">
      <c r="A217" s="5" t="s">
        <v>700</v>
      </c>
      <c r="B217" s="5" t="s">
        <v>698</v>
      </c>
      <c r="C217" s="5" t="s">
        <v>303</v>
      </c>
      <c r="D217" s="5" t="s">
        <v>304</v>
      </c>
      <c r="E217" s="5" t="s">
        <v>172</v>
      </c>
      <c r="F217" s="5" t="s">
        <v>173</v>
      </c>
      <c r="G217" s="5" t="s">
        <v>53</v>
      </c>
      <c r="H217" s="5">
        <v>3</v>
      </c>
      <c r="I217" s="6">
        <v>199.99</v>
      </c>
      <c r="J217" s="5" t="s">
        <v>20</v>
      </c>
      <c r="K217" s="5" t="s">
        <v>59</v>
      </c>
      <c r="L217" s="5" t="s">
        <v>29</v>
      </c>
      <c r="M217" s="5" t="s">
        <v>179</v>
      </c>
      <c r="N217" s="6">
        <v>599.97</v>
      </c>
    </row>
    <row r="218" spans="1:14" ht="15" customHeight="1" x14ac:dyDescent="0.3">
      <c r="A218" s="3" t="s">
        <v>701</v>
      </c>
      <c r="B218" s="3" t="s">
        <v>702</v>
      </c>
      <c r="C218" s="3" t="s">
        <v>66</v>
      </c>
      <c r="D218" s="3" t="s">
        <v>67</v>
      </c>
      <c r="E218" s="3" t="s">
        <v>140</v>
      </c>
      <c r="F218" s="3" t="s">
        <v>141</v>
      </c>
      <c r="G218" s="3" t="s">
        <v>53</v>
      </c>
      <c r="H218" s="3">
        <v>5</v>
      </c>
      <c r="I218" s="4">
        <v>299.99</v>
      </c>
      <c r="J218" s="3" t="s">
        <v>20</v>
      </c>
      <c r="K218" s="3" t="s">
        <v>59</v>
      </c>
      <c r="L218" s="3" t="s">
        <v>40</v>
      </c>
      <c r="M218" s="3" t="s">
        <v>703</v>
      </c>
      <c r="N218" s="4">
        <v>1499.95</v>
      </c>
    </row>
    <row r="219" spans="1:14" ht="15" customHeight="1" x14ac:dyDescent="0.3">
      <c r="A219" s="5" t="s">
        <v>704</v>
      </c>
      <c r="B219" s="5" t="s">
        <v>702</v>
      </c>
      <c r="C219" s="5" t="s">
        <v>216</v>
      </c>
      <c r="D219" s="5" t="s">
        <v>217</v>
      </c>
      <c r="E219" s="5" t="s">
        <v>101</v>
      </c>
      <c r="F219" s="5" t="s">
        <v>102</v>
      </c>
      <c r="G219" s="5" t="s">
        <v>19</v>
      </c>
      <c r="H219" s="5">
        <v>1</v>
      </c>
      <c r="I219" s="6">
        <v>699.99</v>
      </c>
      <c r="J219" s="5" t="s">
        <v>38</v>
      </c>
      <c r="K219" s="5" t="s">
        <v>59</v>
      </c>
      <c r="L219" s="5" t="s">
        <v>22</v>
      </c>
      <c r="M219" s="5" t="s">
        <v>705</v>
      </c>
      <c r="N219" s="6">
        <v>699.99</v>
      </c>
    </row>
    <row r="220" spans="1:14" ht="15" customHeight="1" x14ac:dyDescent="0.3">
      <c r="A220" s="3" t="s">
        <v>706</v>
      </c>
      <c r="B220" s="3" t="s">
        <v>707</v>
      </c>
      <c r="C220" s="3" t="s">
        <v>427</v>
      </c>
      <c r="D220" s="3" t="s">
        <v>428</v>
      </c>
      <c r="E220" s="3" t="s">
        <v>101</v>
      </c>
      <c r="F220" s="3" t="s">
        <v>102</v>
      </c>
      <c r="G220" s="3" t="s">
        <v>19</v>
      </c>
      <c r="H220" s="3">
        <v>1</v>
      </c>
      <c r="I220" s="4">
        <v>699.99</v>
      </c>
      <c r="J220" s="3" t="s">
        <v>20</v>
      </c>
      <c r="K220" s="3" t="s">
        <v>46</v>
      </c>
      <c r="L220" s="3" t="s">
        <v>29</v>
      </c>
      <c r="M220" s="3" t="s">
        <v>536</v>
      </c>
      <c r="N220" s="4">
        <v>699.99</v>
      </c>
    </row>
    <row r="221" spans="1:14" ht="15" customHeight="1" x14ac:dyDescent="0.3">
      <c r="A221" s="5" t="s">
        <v>708</v>
      </c>
      <c r="B221" s="5" t="s">
        <v>707</v>
      </c>
      <c r="C221" s="5" t="s">
        <v>614</v>
      </c>
      <c r="D221" s="5" t="s">
        <v>615</v>
      </c>
      <c r="E221" s="5" t="s">
        <v>51</v>
      </c>
      <c r="F221" s="5" t="s">
        <v>52</v>
      </c>
      <c r="G221" s="5" t="s">
        <v>53</v>
      </c>
      <c r="H221" s="5">
        <v>4</v>
      </c>
      <c r="I221" s="6">
        <v>149.99</v>
      </c>
      <c r="J221" s="5" t="s">
        <v>38</v>
      </c>
      <c r="K221" s="5" t="s">
        <v>46</v>
      </c>
      <c r="L221" s="5" t="s">
        <v>29</v>
      </c>
      <c r="M221" s="5" t="s">
        <v>174</v>
      </c>
      <c r="N221" s="6">
        <v>599.96</v>
      </c>
    </row>
    <row r="222" spans="1:14" ht="15" customHeight="1" x14ac:dyDescent="0.3">
      <c r="A222" s="3" t="s">
        <v>709</v>
      </c>
      <c r="B222" s="3" t="s">
        <v>707</v>
      </c>
      <c r="C222" s="3" t="s">
        <v>348</v>
      </c>
      <c r="D222" s="3" t="s">
        <v>349</v>
      </c>
      <c r="E222" s="3" t="s">
        <v>158</v>
      </c>
      <c r="F222" s="3" t="s">
        <v>159</v>
      </c>
      <c r="G222" s="3" t="s">
        <v>19</v>
      </c>
      <c r="H222" s="3">
        <v>5</v>
      </c>
      <c r="I222" s="4">
        <v>89.99</v>
      </c>
      <c r="J222" s="3" t="s">
        <v>38</v>
      </c>
      <c r="K222" s="3" t="s">
        <v>59</v>
      </c>
      <c r="L222" s="3" t="s">
        <v>29</v>
      </c>
      <c r="M222" s="3" t="s">
        <v>710</v>
      </c>
      <c r="N222" s="4">
        <v>449.95</v>
      </c>
    </row>
    <row r="223" spans="1:14" ht="15" customHeight="1" x14ac:dyDescent="0.3">
      <c r="A223" s="5" t="s">
        <v>711</v>
      </c>
      <c r="B223" s="5" t="s">
        <v>712</v>
      </c>
      <c r="C223" s="5" t="s">
        <v>196</v>
      </c>
      <c r="D223" s="5" t="s">
        <v>197</v>
      </c>
      <c r="E223" s="5" t="s">
        <v>172</v>
      </c>
      <c r="F223" s="5" t="s">
        <v>173</v>
      </c>
      <c r="G223" s="5" t="s">
        <v>53</v>
      </c>
      <c r="H223" s="5">
        <v>2</v>
      </c>
      <c r="I223" s="6">
        <v>199.99</v>
      </c>
      <c r="J223" s="5" t="s">
        <v>20</v>
      </c>
      <c r="K223" s="5" t="s">
        <v>21</v>
      </c>
      <c r="L223" s="5" t="s">
        <v>29</v>
      </c>
      <c r="M223" s="5" t="s">
        <v>713</v>
      </c>
      <c r="N223" s="6">
        <v>399.98</v>
      </c>
    </row>
    <row r="224" spans="1:14" ht="15" customHeight="1" x14ac:dyDescent="0.3">
      <c r="A224" s="3" t="s">
        <v>714</v>
      </c>
      <c r="B224" s="3" t="s">
        <v>715</v>
      </c>
      <c r="C224" s="3" t="s">
        <v>452</v>
      </c>
      <c r="D224" s="3" t="s">
        <v>453</v>
      </c>
      <c r="E224" s="3" t="s">
        <v>35</v>
      </c>
      <c r="F224" s="3" t="s">
        <v>36</v>
      </c>
      <c r="G224" s="3" t="s">
        <v>37</v>
      </c>
      <c r="H224" s="3">
        <v>4</v>
      </c>
      <c r="I224" s="4">
        <v>59.99</v>
      </c>
      <c r="J224" s="3" t="s">
        <v>20</v>
      </c>
      <c r="K224" s="3" t="s">
        <v>59</v>
      </c>
      <c r="L224" s="3" t="s">
        <v>40</v>
      </c>
      <c r="M224" s="3" t="s">
        <v>716</v>
      </c>
      <c r="N224" s="4">
        <v>239.96</v>
      </c>
    </row>
    <row r="225" spans="1:14" ht="15" customHeight="1" x14ac:dyDescent="0.3">
      <c r="A225" s="5" t="s">
        <v>717</v>
      </c>
      <c r="B225" s="5" t="s">
        <v>715</v>
      </c>
      <c r="C225" s="5" t="s">
        <v>120</v>
      </c>
      <c r="D225" s="5" t="s">
        <v>121</v>
      </c>
      <c r="E225" s="5" t="s">
        <v>140</v>
      </c>
      <c r="F225" s="5" t="s">
        <v>141</v>
      </c>
      <c r="G225" s="5" t="s">
        <v>53</v>
      </c>
      <c r="H225" s="5">
        <v>2</v>
      </c>
      <c r="I225" s="6">
        <v>299.99</v>
      </c>
      <c r="J225" s="5" t="s">
        <v>38</v>
      </c>
      <c r="K225" s="5" t="s">
        <v>39</v>
      </c>
      <c r="L225" s="5" t="s">
        <v>22</v>
      </c>
      <c r="M225" s="5" t="s">
        <v>718</v>
      </c>
      <c r="N225" s="6">
        <v>599.98</v>
      </c>
    </row>
    <row r="226" spans="1:14" ht="15" customHeight="1" x14ac:dyDescent="0.3">
      <c r="A226" s="3" t="s">
        <v>719</v>
      </c>
      <c r="B226" s="3" t="s">
        <v>720</v>
      </c>
      <c r="C226" s="3" t="s">
        <v>66</v>
      </c>
      <c r="D226" s="3" t="s">
        <v>67</v>
      </c>
      <c r="E226" s="3" t="s">
        <v>51</v>
      </c>
      <c r="F226" s="3" t="s">
        <v>52</v>
      </c>
      <c r="G226" s="3" t="s">
        <v>53</v>
      </c>
      <c r="H226" s="3">
        <v>2</v>
      </c>
      <c r="I226" s="4">
        <v>149.99</v>
      </c>
      <c r="J226" s="3" t="s">
        <v>20</v>
      </c>
      <c r="K226" s="3" t="s">
        <v>21</v>
      </c>
      <c r="L226" s="3" t="s">
        <v>22</v>
      </c>
      <c r="M226" s="3" t="s">
        <v>184</v>
      </c>
      <c r="N226" s="4">
        <v>299.98</v>
      </c>
    </row>
    <row r="227" spans="1:14" ht="15" customHeight="1" x14ac:dyDescent="0.3">
      <c r="A227" s="5" t="s">
        <v>721</v>
      </c>
      <c r="B227" s="5" t="s">
        <v>722</v>
      </c>
      <c r="C227" s="5" t="s">
        <v>384</v>
      </c>
      <c r="D227" s="5" t="s">
        <v>385</v>
      </c>
      <c r="E227" s="5" t="s">
        <v>101</v>
      </c>
      <c r="F227" s="5" t="s">
        <v>102</v>
      </c>
      <c r="G227" s="5" t="s">
        <v>19</v>
      </c>
      <c r="H227" s="5">
        <v>5</v>
      </c>
      <c r="I227" s="6">
        <v>699.99</v>
      </c>
      <c r="J227" s="5" t="s">
        <v>68</v>
      </c>
      <c r="K227" s="5" t="s">
        <v>76</v>
      </c>
      <c r="L227" s="5" t="s">
        <v>29</v>
      </c>
      <c r="M227" s="5" t="s">
        <v>295</v>
      </c>
      <c r="N227" s="6">
        <v>3499.95</v>
      </c>
    </row>
    <row r="228" spans="1:14" ht="15" customHeight="1" x14ac:dyDescent="0.3">
      <c r="A228" s="3" t="s">
        <v>723</v>
      </c>
      <c r="B228" s="3" t="s">
        <v>724</v>
      </c>
      <c r="C228" s="3" t="s">
        <v>95</v>
      </c>
      <c r="D228" s="3" t="s">
        <v>96</v>
      </c>
      <c r="E228" s="3" t="s">
        <v>35</v>
      </c>
      <c r="F228" s="3" t="s">
        <v>36</v>
      </c>
      <c r="G228" s="3" t="s">
        <v>37</v>
      </c>
      <c r="H228" s="3">
        <v>5</v>
      </c>
      <c r="I228" s="4">
        <v>59.99</v>
      </c>
      <c r="J228" s="3" t="s">
        <v>20</v>
      </c>
      <c r="K228" s="3" t="s">
        <v>59</v>
      </c>
      <c r="L228" s="3" t="s">
        <v>29</v>
      </c>
      <c r="M228" s="3" t="s">
        <v>725</v>
      </c>
      <c r="N228" s="4">
        <v>299.95</v>
      </c>
    </row>
    <row r="229" spans="1:14" ht="15" customHeight="1" x14ac:dyDescent="0.3">
      <c r="A229" s="5" t="s">
        <v>726</v>
      </c>
      <c r="B229" s="5" t="s">
        <v>727</v>
      </c>
      <c r="C229" s="5" t="s">
        <v>15</v>
      </c>
      <c r="D229" s="5" t="s">
        <v>16</v>
      </c>
      <c r="E229" s="5" t="s">
        <v>158</v>
      </c>
      <c r="F229" s="5" t="s">
        <v>159</v>
      </c>
      <c r="G229" s="5" t="s">
        <v>19</v>
      </c>
      <c r="H229" s="5">
        <v>2</v>
      </c>
      <c r="I229" s="6">
        <v>89.99</v>
      </c>
      <c r="J229" s="5" t="s">
        <v>28</v>
      </c>
      <c r="K229" s="5" t="s">
        <v>59</v>
      </c>
      <c r="L229" s="5" t="s">
        <v>29</v>
      </c>
      <c r="M229" s="5" t="s">
        <v>54</v>
      </c>
      <c r="N229" s="6">
        <v>179.98</v>
      </c>
    </row>
    <row r="230" spans="1:14" ht="15" customHeight="1" x14ac:dyDescent="0.3">
      <c r="A230" s="3" t="s">
        <v>728</v>
      </c>
      <c r="B230" s="3" t="s">
        <v>727</v>
      </c>
      <c r="C230" s="3" t="s">
        <v>163</v>
      </c>
      <c r="D230" s="3" t="s">
        <v>164</v>
      </c>
      <c r="E230" s="3" t="s">
        <v>17</v>
      </c>
      <c r="F230" s="3" t="s">
        <v>18</v>
      </c>
      <c r="G230" s="3" t="s">
        <v>19</v>
      </c>
      <c r="H230" s="3">
        <v>5</v>
      </c>
      <c r="I230" s="4">
        <v>249.99</v>
      </c>
      <c r="J230" s="3" t="s">
        <v>20</v>
      </c>
      <c r="K230" s="3" t="s">
        <v>76</v>
      </c>
      <c r="L230" s="3" t="s">
        <v>40</v>
      </c>
      <c r="M230" s="3" t="s">
        <v>729</v>
      </c>
      <c r="N230" s="4">
        <v>1249.95</v>
      </c>
    </row>
    <row r="231" spans="1:14" ht="15" customHeight="1" x14ac:dyDescent="0.3">
      <c r="A231" s="5" t="s">
        <v>730</v>
      </c>
      <c r="B231" s="5" t="s">
        <v>731</v>
      </c>
      <c r="C231" s="5" t="s">
        <v>384</v>
      </c>
      <c r="D231" s="5" t="s">
        <v>385</v>
      </c>
      <c r="E231" s="5" t="s">
        <v>51</v>
      </c>
      <c r="F231" s="5" t="s">
        <v>52</v>
      </c>
      <c r="G231" s="5" t="s">
        <v>53</v>
      </c>
      <c r="H231" s="5">
        <v>2</v>
      </c>
      <c r="I231" s="6">
        <v>149.99</v>
      </c>
      <c r="J231" s="5" t="s">
        <v>38</v>
      </c>
      <c r="K231" s="5" t="s">
        <v>21</v>
      </c>
      <c r="L231" s="5" t="s">
        <v>29</v>
      </c>
      <c r="M231" s="5" t="s">
        <v>732</v>
      </c>
      <c r="N231" s="6">
        <v>299.98</v>
      </c>
    </row>
    <row r="232" spans="1:14" ht="15" customHeight="1" x14ac:dyDescent="0.3">
      <c r="A232" s="3" t="s">
        <v>733</v>
      </c>
      <c r="B232" s="3" t="s">
        <v>731</v>
      </c>
      <c r="C232" s="3" t="s">
        <v>206</v>
      </c>
      <c r="D232" s="3" t="s">
        <v>207</v>
      </c>
      <c r="E232" s="3" t="s">
        <v>74</v>
      </c>
      <c r="F232" s="3" t="s">
        <v>75</v>
      </c>
      <c r="G232" s="3" t="s">
        <v>19</v>
      </c>
      <c r="H232" s="3">
        <v>5</v>
      </c>
      <c r="I232" s="4">
        <v>899.99</v>
      </c>
      <c r="J232" s="3" t="s">
        <v>38</v>
      </c>
      <c r="K232" s="3" t="s">
        <v>76</v>
      </c>
      <c r="L232" s="3" t="s">
        <v>29</v>
      </c>
      <c r="M232" s="3" t="s">
        <v>293</v>
      </c>
      <c r="N232" s="4">
        <v>4499.95</v>
      </c>
    </row>
    <row r="233" spans="1:14" ht="15" customHeight="1" x14ac:dyDescent="0.3">
      <c r="A233" s="5" t="s">
        <v>734</v>
      </c>
      <c r="B233" s="5" t="s">
        <v>731</v>
      </c>
      <c r="C233" s="5" t="s">
        <v>66</v>
      </c>
      <c r="D233" s="5" t="s">
        <v>67</v>
      </c>
      <c r="E233" s="5" t="s">
        <v>51</v>
      </c>
      <c r="F233" s="5" t="s">
        <v>52</v>
      </c>
      <c r="G233" s="5" t="s">
        <v>53</v>
      </c>
      <c r="H233" s="5">
        <v>4</v>
      </c>
      <c r="I233" s="6">
        <v>149.99</v>
      </c>
      <c r="J233" s="5" t="s">
        <v>20</v>
      </c>
      <c r="K233" s="5" t="s">
        <v>21</v>
      </c>
      <c r="L233" s="5" t="s">
        <v>40</v>
      </c>
      <c r="M233" s="5" t="s">
        <v>735</v>
      </c>
      <c r="N233" s="6">
        <v>599.96</v>
      </c>
    </row>
    <row r="234" spans="1:14" ht="15" customHeight="1" x14ac:dyDescent="0.3">
      <c r="A234" s="3" t="s">
        <v>736</v>
      </c>
      <c r="B234" s="3" t="s">
        <v>737</v>
      </c>
      <c r="C234" s="3" t="s">
        <v>206</v>
      </c>
      <c r="D234" s="3" t="s">
        <v>207</v>
      </c>
      <c r="E234" s="3" t="s">
        <v>17</v>
      </c>
      <c r="F234" s="3" t="s">
        <v>18</v>
      </c>
      <c r="G234" s="3" t="s">
        <v>19</v>
      </c>
      <c r="H234" s="3">
        <v>1</v>
      </c>
      <c r="I234" s="4">
        <v>249.99</v>
      </c>
      <c r="J234" s="3" t="s">
        <v>20</v>
      </c>
      <c r="K234" s="3" t="s">
        <v>46</v>
      </c>
      <c r="L234" s="3" t="s">
        <v>40</v>
      </c>
      <c r="M234" s="3" t="s">
        <v>738</v>
      </c>
      <c r="N234" s="4">
        <v>249.99</v>
      </c>
    </row>
    <row r="235" spans="1:14" ht="15" customHeight="1" x14ac:dyDescent="0.3">
      <c r="A235" s="5" t="s">
        <v>739</v>
      </c>
      <c r="B235" s="5" t="s">
        <v>740</v>
      </c>
      <c r="C235" s="5" t="s">
        <v>303</v>
      </c>
      <c r="D235" s="5" t="s">
        <v>304</v>
      </c>
      <c r="E235" s="5" t="s">
        <v>35</v>
      </c>
      <c r="F235" s="5" t="s">
        <v>36</v>
      </c>
      <c r="G235" s="5" t="s">
        <v>37</v>
      </c>
      <c r="H235" s="5">
        <v>2</v>
      </c>
      <c r="I235" s="6">
        <v>59.99</v>
      </c>
      <c r="J235" s="5" t="s">
        <v>28</v>
      </c>
      <c r="K235" s="5" t="s">
        <v>59</v>
      </c>
      <c r="L235" s="5" t="s">
        <v>22</v>
      </c>
      <c r="M235" s="5" t="s">
        <v>741</v>
      </c>
      <c r="N235" s="6">
        <v>119.98</v>
      </c>
    </row>
    <row r="236" spans="1:14" ht="15" customHeight="1" x14ac:dyDescent="0.3">
      <c r="A236" s="3" t="s">
        <v>742</v>
      </c>
      <c r="B236" s="3" t="s">
        <v>743</v>
      </c>
      <c r="C236" s="3" t="s">
        <v>182</v>
      </c>
      <c r="D236" s="3" t="s">
        <v>183</v>
      </c>
      <c r="E236" s="3" t="s">
        <v>51</v>
      </c>
      <c r="F236" s="3" t="s">
        <v>52</v>
      </c>
      <c r="G236" s="3" t="s">
        <v>53</v>
      </c>
      <c r="H236" s="3">
        <v>2</v>
      </c>
      <c r="I236" s="4">
        <v>149.99</v>
      </c>
      <c r="J236" s="3" t="s">
        <v>20</v>
      </c>
      <c r="K236" s="3" t="s">
        <v>59</v>
      </c>
      <c r="L236" s="3" t="s">
        <v>29</v>
      </c>
      <c r="M236" s="3" t="s">
        <v>744</v>
      </c>
      <c r="N236" s="4">
        <v>299.98</v>
      </c>
    </row>
    <row r="237" spans="1:14" ht="15" customHeight="1" x14ac:dyDescent="0.3">
      <c r="A237" s="5" t="s">
        <v>745</v>
      </c>
      <c r="B237" s="5" t="s">
        <v>743</v>
      </c>
      <c r="C237" s="5" t="s">
        <v>216</v>
      </c>
      <c r="D237" s="5" t="s">
        <v>217</v>
      </c>
      <c r="E237" s="5" t="s">
        <v>74</v>
      </c>
      <c r="F237" s="5" t="s">
        <v>75</v>
      </c>
      <c r="G237" s="5" t="s">
        <v>19</v>
      </c>
      <c r="H237" s="5">
        <v>3</v>
      </c>
      <c r="I237" s="6">
        <v>899.99</v>
      </c>
      <c r="J237" s="5" t="s">
        <v>68</v>
      </c>
      <c r="K237" s="5" t="s">
        <v>46</v>
      </c>
      <c r="L237" s="5" t="s">
        <v>29</v>
      </c>
      <c r="M237" s="5" t="s">
        <v>746</v>
      </c>
      <c r="N237" s="6">
        <v>2699.97</v>
      </c>
    </row>
    <row r="238" spans="1:14" ht="15" customHeight="1" x14ac:dyDescent="0.3">
      <c r="A238" s="3" t="s">
        <v>747</v>
      </c>
      <c r="B238" s="3" t="s">
        <v>743</v>
      </c>
      <c r="C238" s="3" t="s">
        <v>57</v>
      </c>
      <c r="D238" s="3" t="s">
        <v>58</v>
      </c>
      <c r="E238" s="3" t="s">
        <v>74</v>
      </c>
      <c r="F238" s="3" t="s">
        <v>75</v>
      </c>
      <c r="G238" s="3" t="s">
        <v>19</v>
      </c>
      <c r="H238" s="3">
        <v>3</v>
      </c>
      <c r="I238" s="4">
        <v>899.99</v>
      </c>
      <c r="J238" s="3" t="s">
        <v>38</v>
      </c>
      <c r="K238" s="3" t="s">
        <v>46</v>
      </c>
      <c r="L238" s="3" t="s">
        <v>22</v>
      </c>
      <c r="M238" s="3" t="s">
        <v>748</v>
      </c>
      <c r="N238" s="4">
        <v>2699.97</v>
      </c>
    </row>
    <row r="239" spans="1:14" ht="15" customHeight="1" x14ac:dyDescent="0.3">
      <c r="A239" s="5" t="s">
        <v>749</v>
      </c>
      <c r="B239" s="5" t="s">
        <v>750</v>
      </c>
      <c r="C239" s="5" t="s">
        <v>15</v>
      </c>
      <c r="D239" s="5" t="s">
        <v>16</v>
      </c>
      <c r="E239" s="5" t="s">
        <v>140</v>
      </c>
      <c r="F239" s="5" t="s">
        <v>141</v>
      </c>
      <c r="G239" s="5" t="s">
        <v>53</v>
      </c>
      <c r="H239" s="5">
        <v>3</v>
      </c>
      <c r="I239" s="6">
        <v>299.99</v>
      </c>
      <c r="J239" s="5" t="s">
        <v>28</v>
      </c>
      <c r="K239" s="5" t="s">
        <v>59</v>
      </c>
      <c r="L239" s="5" t="s">
        <v>29</v>
      </c>
      <c r="M239" s="5" t="s">
        <v>751</v>
      </c>
      <c r="N239" s="6">
        <v>899.97</v>
      </c>
    </row>
    <row r="240" spans="1:14" ht="15" customHeight="1" x14ac:dyDescent="0.3">
      <c r="A240" s="3" t="s">
        <v>752</v>
      </c>
      <c r="B240" s="3" t="s">
        <v>753</v>
      </c>
      <c r="C240" s="3" t="s">
        <v>754</v>
      </c>
      <c r="D240" s="3" t="s">
        <v>755</v>
      </c>
      <c r="E240" s="3" t="s">
        <v>51</v>
      </c>
      <c r="F240" s="3" t="s">
        <v>52</v>
      </c>
      <c r="G240" s="3" t="s">
        <v>53</v>
      </c>
      <c r="H240" s="3">
        <v>4</v>
      </c>
      <c r="I240" s="4">
        <v>149.99</v>
      </c>
      <c r="J240" s="3" t="s">
        <v>38</v>
      </c>
      <c r="K240" s="3" t="s">
        <v>59</v>
      </c>
      <c r="L240" s="3" t="s">
        <v>40</v>
      </c>
      <c r="M240" s="3" t="s">
        <v>534</v>
      </c>
      <c r="N240" s="4">
        <v>599.96</v>
      </c>
    </row>
    <row r="241" spans="1:14" ht="15" customHeight="1" x14ac:dyDescent="0.3">
      <c r="A241" s="5" t="s">
        <v>756</v>
      </c>
      <c r="B241" s="5" t="s">
        <v>757</v>
      </c>
      <c r="C241" s="5" t="s">
        <v>135</v>
      </c>
      <c r="D241" s="5" t="s">
        <v>136</v>
      </c>
      <c r="E241" s="5" t="s">
        <v>154</v>
      </c>
      <c r="F241" s="5" t="s">
        <v>155</v>
      </c>
      <c r="G241" s="5" t="s">
        <v>37</v>
      </c>
      <c r="H241" s="5">
        <v>4</v>
      </c>
      <c r="I241" s="6">
        <v>79.989999999999995</v>
      </c>
      <c r="J241" s="5" t="s">
        <v>28</v>
      </c>
      <c r="K241" s="5" t="s">
        <v>21</v>
      </c>
      <c r="L241" s="5" t="s">
        <v>22</v>
      </c>
      <c r="M241" s="5" t="s">
        <v>758</v>
      </c>
      <c r="N241" s="6">
        <v>319.95999999999998</v>
      </c>
    </row>
    <row r="242" spans="1:14" ht="15" customHeight="1" x14ac:dyDescent="0.3">
      <c r="A242" s="3" t="s">
        <v>759</v>
      </c>
      <c r="B242" s="3" t="s">
        <v>760</v>
      </c>
      <c r="C242" s="3" t="s">
        <v>289</v>
      </c>
      <c r="D242" s="3" t="s">
        <v>290</v>
      </c>
      <c r="E242" s="3" t="s">
        <v>158</v>
      </c>
      <c r="F242" s="3" t="s">
        <v>159</v>
      </c>
      <c r="G242" s="3" t="s">
        <v>19</v>
      </c>
      <c r="H242" s="3">
        <v>5</v>
      </c>
      <c r="I242" s="4">
        <v>89.99</v>
      </c>
      <c r="J242" s="3" t="s">
        <v>38</v>
      </c>
      <c r="K242" s="3" t="s">
        <v>39</v>
      </c>
      <c r="L242" s="3" t="s">
        <v>22</v>
      </c>
      <c r="M242" s="3" t="s">
        <v>761</v>
      </c>
      <c r="N242" s="4">
        <v>449.95</v>
      </c>
    </row>
    <row r="243" spans="1:14" ht="15" customHeight="1" x14ac:dyDescent="0.3">
      <c r="A243" s="5" t="s">
        <v>762</v>
      </c>
      <c r="B243" s="5" t="s">
        <v>763</v>
      </c>
      <c r="C243" s="5" t="s">
        <v>120</v>
      </c>
      <c r="D243" s="5" t="s">
        <v>121</v>
      </c>
      <c r="E243" s="5" t="s">
        <v>51</v>
      </c>
      <c r="F243" s="5" t="s">
        <v>52</v>
      </c>
      <c r="G243" s="5" t="s">
        <v>53</v>
      </c>
      <c r="H243" s="5">
        <v>3</v>
      </c>
      <c r="I243" s="6">
        <v>149.99</v>
      </c>
      <c r="J243" s="5" t="s">
        <v>38</v>
      </c>
      <c r="K243" s="5" t="s">
        <v>21</v>
      </c>
      <c r="L243" s="5" t="s">
        <v>40</v>
      </c>
      <c r="M243" s="5" t="s">
        <v>764</v>
      </c>
      <c r="N243" s="6">
        <v>449.97</v>
      </c>
    </row>
    <row r="244" spans="1:14" ht="15" customHeight="1" x14ac:dyDescent="0.3">
      <c r="A244" s="3" t="s">
        <v>765</v>
      </c>
      <c r="B244" s="3" t="s">
        <v>763</v>
      </c>
      <c r="C244" s="3" t="s">
        <v>80</v>
      </c>
      <c r="D244" s="3" t="s">
        <v>81</v>
      </c>
      <c r="E244" s="3" t="s">
        <v>158</v>
      </c>
      <c r="F244" s="3" t="s">
        <v>159</v>
      </c>
      <c r="G244" s="3" t="s">
        <v>19</v>
      </c>
      <c r="H244" s="3">
        <v>2</v>
      </c>
      <c r="I244" s="4">
        <v>89.99</v>
      </c>
      <c r="J244" s="3" t="s">
        <v>68</v>
      </c>
      <c r="K244" s="3" t="s">
        <v>59</v>
      </c>
      <c r="L244" s="3" t="s">
        <v>29</v>
      </c>
      <c r="M244" s="3" t="s">
        <v>593</v>
      </c>
      <c r="N244" s="4">
        <v>179.98</v>
      </c>
    </row>
    <row r="245" spans="1:14" ht="15" customHeight="1" x14ac:dyDescent="0.3">
      <c r="A245" s="5" t="s">
        <v>766</v>
      </c>
      <c r="B245" s="5" t="s">
        <v>767</v>
      </c>
      <c r="C245" s="5" t="s">
        <v>135</v>
      </c>
      <c r="D245" s="5" t="s">
        <v>136</v>
      </c>
      <c r="E245" s="5" t="s">
        <v>101</v>
      </c>
      <c r="F245" s="5" t="s">
        <v>102</v>
      </c>
      <c r="G245" s="5" t="s">
        <v>19</v>
      </c>
      <c r="H245" s="5">
        <v>2</v>
      </c>
      <c r="I245" s="6">
        <v>699.99</v>
      </c>
      <c r="J245" s="5" t="s">
        <v>38</v>
      </c>
      <c r="K245" s="5" t="s">
        <v>46</v>
      </c>
      <c r="L245" s="5" t="s">
        <v>40</v>
      </c>
      <c r="M245" s="5" t="s">
        <v>440</v>
      </c>
      <c r="N245" s="6">
        <v>1399.98</v>
      </c>
    </row>
    <row r="246" spans="1:14" ht="15" customHeight="1" x14ac:dyDescent="0.3">
      <c r="A246" s="3" t="s">
        <v>768</v>
      </c>
      <c r="B246" s="3" t="s">
        <v>769</v>
      </c>
      <c r="C246" s="3" t="s">
        <v>168</v>
      </c>
      <c r="D246" s="3" t="s">
        <v>169</v>
      </c>
      <c r="E246" s="3" t="s">
        <v>74</v>
      </c>
      <c r="F246" s="3" t="s">
        <v>75</v>
      </c>
      <c r="G246" s="3" t="s">
        <v>19</v>
      </c>
      <c r="H246" s="3">
        <v>3</v>
      </c>
      <c r="I246" s="4">
        <v>899.99</v>
      </c>
      <c r="J246" s="3" t="s">
        <v>20</v>
      </c>
      <c r="K246" s="3" t="s">
        <v>21</v>
      </c>
      <c r="L246" s="3" t="s">
        <v>40</v>
      </c>
      <c r="M246" s="3" t="s">
        <v>454</v>
      </c>
      <c r="N246" s="4">
        <v>2699.97</v>
      </c>
    </row>
    <row r="247" spans="1:14" ht="15" customHeight="1" x14ac:dyDescent="0.3">
      <c r="A247" s="5" t="s">
        <v>770</v>
      </c>
      <c r="B247" s="5" t="s">
        <v>771</v>
      </c>
      <c r="C247" s="5" t="s">
        <v>120</v>
      </c>
      <c r="D247" s="5" t="s">
        <v>121</v>
      </c>
      <c r="E247" s="5" t="s">
        <v>154</v>
      </c>
      <c r="F247" s="5" t="s">
        <v>155</v>
      </c>
      <c r="G247" s="5" t="s">
        <v>37</v>
      </c>
      <c r="H247" s="5">
        <v>3</v>
      </c>
      <c r="I247" s="6">
        <v>79.989999999999995</v>
      </c>
      <c r="J247" s="5" t="s">
        <v>28</v>
      </c>
      <c r="K247" s="5" t="s">
        <v>46</v>
      </c>
      <c r="L247" s="5" t="s">
        <v>22</v>
      </c>
      <c r="M247" s="5" t="s">
        <v>772</v>
      </c>
      <c r="N247" s="6">
        <v>239.97</v>
      </c>
    </row>
    <row r="248" spans="1:14" ht="15" customHeight="1" x14ac:dyDescent="0.3">
      <c r="A248" s="3" t="s">
        <v>773</v>
      </c>
      <c r="B248" s="3" t="s">
        <v>774</v>
      </c>
      <c r="C248" s="3" t="s">
        <v>72</v>
      </c>
      <c r="D248" s="3" t="s">
        <v>73</v>
      </c>
      <c r="E248" s="3" t="s">
        <v>158</v>
      </c>
      <c r="F248" s="3" t="s">
        <v>159</v>
      </c>
      <c r="G248" s="3" t="s">
        <v>19</v>
      </c>
      <c r="H248" s="3">
        <v>1</v>
      </c>
      <c r="I248" s="4">
        <v>89.99</v>
      </c>
      <c r="J248" s="3" t="s">
        <v>68</v>
      </c>
      <c r="K248" s="3" t="s">
        <v>76</v>
      </c>
      <c r="L248" s="3" t="s">
        <v>22</v>
      </c>
      <c r="M248" s="3" t="s">
        <v>775</v>
      </c>
      <c r="N248" s="4">
        <v>89.99</v>
      </c>
    </row>
    <row r="249" spans="1:14" ht="15" customHeight="1" x14ac:dyDescent="0.3">
      <c r="A249" s="5" t="s">
        <v>776</v>
      </c>
      <c r="B249" s="5" t="s">
        <v>777</v>
      </c>
      <c r="C249" s="5" t="s">
        <v>539</v>
      </c>
      <c r="D249" s="5" t="s">
        <v>540</v>
      </c>
      <c r="E249" s="5" t="s">
        <v>101</v>
      </c>
      <c r="F249" s="5" t="s">
        <v>102</v>
      </c>
      <c r="G249" s="5" t="s">
        <v>19</v>
      </c>
      <c r="H249" s="5">
        <v>3</v>
      </c>
      <c r="I249" s="6">
        <v>699.99</v>
      </c>
      <c r="J249" s="5" t="s">
        <v>38</v>
      </c>
      <c r="K249" s="5" t="s">
        <v>46</v>
      </c>
      <c r="L249" s="5" t="s">
        <v>22</v>
      </c>
      <c r="M249" s="5" t="s">
        <v>301</v>
      </c>
      <c r="N249" s="6">
        <v>2099.9699999999998</v>
      </c>
    </row>
    <row r="250" spans="1:14" ht="15" customHeight="1" x14ac:dyDescent="0.3">
      <c r="A250" s="3" t="s">
        <v>778</v>
      </c>
      <c r="B250" s="3" t="s">
        <v>777</v>
      </c>
      <c r="C250" s="3" t="s">
        <v>384</v>
      </c>
      <c r="D250" s="3" t="s">
        <v>385</v>
      </c>
      <c r="E250" s="3" t="s">
        <v>158</v>
      </c>
      <c r="F250" s="3" t="s">
        <v>159</v>
      </c>
      <c r="G250" s="3" t="s">
        <v>19</v>
      </c>
      <c r="H250" s="3">
        <v>2</v>
      </c>
      <c r="I250" s="4">
        <v>89.99</v>
      </c>
      <c r="J250" s="3" t="s">
        <v>68</v>
      </c>
      <c r="K250" s="3" t="s">
        <v>76</v>
      </c>
      <c r="L250" s="3" t="s">
        <v>22</v>
      </c>
      <c r="M250" s="3" t="s">
        <v>779</v>
      </c>
      <c r="N250" s="4">
        <v>179.98</v>
      </c>
    </row>
    <row r="251" spans="1:14" ht="15" customHeight="1" x14ac:dyDescent="0.3">
      <c r="A251" s="5" t="s">
        <v>780</v>
      </c>
      <c r="B251" s="5" t="s">
        <v>777</v>
      </c>
      <c r="C251" s="5" t="s">
        <v>196</v>
      </c>
      <c r="D251" s="5" t="s">
        <v>197</v>
      </c>
      <c r="E251" s="5" t="s">
        <v>158</v>
      </c>
      <c r="F251" s="5" t="s">
        <v>159</v>
      </c>
      <c r="G251" s="5" t="s">
        <v>19</v>
      </c>
      <c r="H251" s="5">
        <v>3</v>
      </c>
      <c r="I251" s="6">
        <v>89.99</v>
      </c>
      <c r="J251" s="5" t="s">
        <v>68</v>
      </c>
      <c r="K251" s="5" t="s">
        <v>46</v>
      </c>
      <c r="L251" s="5" t="s">
        <v>29</v>
      </c>
      <c r="M251" s="5" t="s">
        <v>781</v>
      </c>
      <c r="N251" s="6">
        <v>269.97000000000003</v>
      </c>
    </row>
  </sheetData>
  <autoFilter ref="A1:N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L55"/>
  <sheetViews>
    <sheetView showGridLines="0" zoomScaleNormal="100" workbookViewId="0">
      <selection activeCell="H45" sqref="H45"/>
    </sheetView>
  </sheetViews>
  <sheetFormatPr defaultColWidth="8.6640625" defaultRowHeight="14.4" x14ac:dyDescent="0.3"/>
  <cols>
    <col min="1" max="1" width="22" customWidth="1"/>
    <col min="2" max="2" width="28" customWidth="1"/>
    <col min="3" max="4" width="18" customWidth="1"/>
    <col min="5" max="5" width="2" customWidth="1"/>
    <col min="6" max="7" width="22" customWidth="1"/>
    <col min="8" max="8" width="18" customWidth="1"/>
    <col min="9" max="9" width="14" customWidth="1"/>
    <col min="10" max="12" width="16" customWidth="1"/>
  </cols>
  <sheetData>
    <row r="1" spans="1:12" ht="30" customHeight="1" x14ac:dyDescent="0.3">
      <c r="A1" s="108" t="s">
        <v>782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3" spans="1:12" ht="15" customHeight="1" x14ac:dyDescent="0.3">
      <c r="A3" s="106" t="s">
        <v>783</v>
      </c>
      <c r="B3" s="106"/>
      <c r="C3" s="106"/>
      <c r="D3" s="106"/>
      <c r="E3" s="1" t="s">
        <v>784</v>
      </c>
      <c r="F3" s="106" t="s">
        <v>785</v>
      </c>
      <c r="G3" s="106"/>
      <c r="H3" s="106"/>
      <c r="I3" s="106"/>
      <c r="J3" s="106"/>
      <c r="K3" s="106"/>
      <c r="L3" s="106"/>
    </row>
    <row r="4" spans="1:12" ht="15" customHeight="1" x14ac:dyDescent="0.3">
      <c r="A4" s="7" t="s">
        <v>786</v>
      </c>
      <c r="B4" s="8" t="s">
        <v>787</v>
      </c>
      <c r="C4" s="9" t="s">
        <v>788</v>
      </c>
      <c r="F4" s="7" t="s">
        <v>6</v>
      </c>
      <c r="G4" s="8" t="s">
        <v>789</v>
      </c>
      <c r="H4" s="8" t="s">
        <v>790</v>
      </c>
      <c r="I4" s="8" t="s">
        <v>791</v>
      </c>
      <c r="J4" s="9" t="s">
        <v>792</v>
      </c>
    </row>
    <row r="5" spans="1:12" ht="15" customHeight="1" x14ac:dyDescent="0.3">
      <c r="A5" s="10" t="s">
        <v>793</v>
      </c>
      <c r="B5" s="11">
        <f ca="1">TODAY()</f>
        <v>46109</v>
      </c>
      <c r="C5" s="12">
        <f ca="1">TODAY()</f>
        <v>46109</v>
      </c>
      <c r="F5" s="13" t="s">
        <v>19</v>
      </c>
      <c r="G5" s="14">
        <f>SUMIF('Raw Data'!G:G,F5,'Raw Data'!N:N)</f>
        <v>171756.05000000013</v>
      </c>
      <c r="H5" s="15">
        <f>COUNTIF('Raw Data'!G:G,F5)</f>
        <v>131</v>
      </c>
      <c r="I5" s="14">
        <f>IFERROR(G5/H5,0)</f>
        <v>1311.1148854961841</v>
      </c>
      <c r="J5" s="16">
        <f>IFERROR(G5/SUM(G5:G7),0)</f>
        <v>0.74939656612627814</v>
      </c>
    </row>
    <row r="6" spans="1:12" ht="15" customHeight="1" x14ac:dyDescent="0.3">
      <c r="A6" s="17" t="s">
        <v>794</v>
      </c>
      <c r="B6" s="18">
        <f ca="1">NOW()</f>
        <v>46109.666286689811</v>
      </c>
      <c r="C6" s="19">
        <f ca="1">NOW()</f>
        <v>46109.666286689811</v>
      </c>
      <c r="F6" s="20" t="s">
        <v>53</v>
      </c>
      <c r="G6" s="21">
        <f>SUMIF('Raw Data'!G:G,F6,'Raw Data'!N:N)</f>
        <v>49097.680000000015</v>
      </c>
      <c r="H6" s="22">
        <f>COUNTIF('Raw Data'!G:G,F6)</f>
        <v>76</v>
      </c>
      <c r="I6" s="21">
        <f>IFERROR(G6/H6,0)</f>
        <v>646.0221052631581</v>
      </c>
      <c r="J6" s="23">
        <f>IFERROR(G6/SUM(G5:G7),0)</f>
        <v>0.214220301391228</v>
      </c>
    </row>
    <row r="7" spans="1:12" ht="15" customHeight="1" x14ac:dyDescent="0.3">
      <c r="A7" s="10" t="s">
        <v>795</v>
      </c>
      <c r="B7" s="24">
        <f ca="1">EOMONTH(TODAY(),0)</f>
        <v>46112</v>
      </c>
      <c r="C7" s="25">
        <f ca="1">EOMONTH(TODAY(),0)</f>
        <v>46112</v>
      </c>
      <c r="F7" s="13" t="s">
        <v>37</v>
      </c>
      <c r="G7" s="14">
        <f>SUMIF('Raw Data'!G:G,F7,'Raw Data'!N:N)</f>
        <v>8338.7399999999961</v>
      </c>
      <c r="H7" s="15">
        <f>COUNTIF('Raw Data'!G:G,F7)</f>
        <v>43</v>
      </c>
      <c r="I7" s="14">
        <f>IFERROR(G7/H7,0)</f>
        <v>193.92418604651155</v>
      </c>
      <c r="J7" s="16">
        <f>IFERROR(G7/SUM(G5:G7),0)</f>
        <v>3.6383132482493821E-2</v>
      </c>
    </row>
    <row r="8" spans="1:12" ht="15" customHeight="1" x14ac:dyDescent="0.3">
      <c r="A8" s="17" t="s">
        <v>796</v>
      </c>
      <c r="B8" s="26">
        <f ca="1">EOMONTH(TODAY(),1)</f>
        <v>46142</v>
      </c>
      <c r="C8" s="27">
        <f ca="1">EOMONTH(TODAY(),1)</f>
        <v>46142</v>
      </c>
      <c r="F8" s="28" t="s">
        <v>797</v>
      </c>
      <c r="G8" s="29">
        <f>SUM(G5:G7)</f>
        <v>229192.47000000015</v>
      </c>
      <c r="H8" s="30">
        <f>SUM(H5:H7)</f>
        <v>250</v>
      </c>
      <c r="I8" s="29">
        <f>IFERROR(G8/H8,0)</f>
        <v>916.76988000000063</v>
      </c>
      <c r="J8" s="31"/>
    </row>
    <row r="9" spans="1:12" ht="15" customHeight="1" x14ac:dyDescent="0.3">
      <c r="A9" s="10" t="s">
        <v>798</v>
      </c>
      <c r="B9" s="24">
        <f ca="1">DATEDIF(DATE(2024,4,11),TODAY(),"D")</f>
        <v>716</v>
      </c>
      <c r="C9" s="32">
        <f ca="1">DATEDIF(DATE(2024,4,11),TODAY(),"D")</f>
        <v>716</v>
      </c>
    </row>
    <row r="10" spans="1:12" ht="15" customHeight="1" x14ac:dyDescent="0.3">
      <c r="A10" s="17" t="s">
        <v>799</v>
      </c>
      <c r="B10" s="26">
        <f ca="1">DATEDIF(DATE(2024,4,11),TODAY(),"M")</f>
        <v>23</v>
      </c>
      <c r="C10" s="33">
        <f ca="1">DATEDIF(DATE(2024,4,11),TODAY(),"M")</f>
        <v>23</v>
      </c>
      <c r="F10" s="106" t="s">
        <v>800</v>
      </c>
      <c r="G10" s="106"/>
      <c r="H10" s="106"/>
      <c r="I10" s="106"/>
      <c r="J10" s="106"/>
      <c r="K10" s="106"/>
      <c r="L10" s="106"/>
    </row>
    <row r="11" spans="1:12" ht="15" customHeight="1" x14ac:dyDescent="0.3">
      <c r="A11" s="10" t="s">
        <v>801</v>
      </c>
      <c r="B11" s="24">
        <f ca="1">DATEDIF(DATE(2024,4,11),TODAY(),"Y")</f>
        <v>1</v>
      </c>
      <c r="C11" s="32">
        <f ca="1">DATEDIF(DATE(2024,4,11),TODAY(),"Y")</f>
        <v>1</v>
      </c>
      <c r="F11" s="7" t="s">
        <v>10</v>
      </c>
      <c r="G11" s="8" t="s">
        <v>802</v>
      </c>
      <c r="H11" s="8" t="s">
        <v>803</v>
      </c>
      <c r="I11" s="9" t="s">
        <v>804</v>
      </c>
    </row>
    <row r="12" spans="1:12" ht="15" customHeight="1" x14ac:dyDescent="0.3">
      <c r="A12" s="17" t="s">
        <v>805</v>
      </c>
      <c r="B12" s="26">
        <f>DATEDIF(DATE(2024,4,11),DATE(2025,4,11),"D")</f>
        <v>365</v>
      </c>
      <c r="C12" s="33">
        <f>DATEDIF(DATE(2024,4,11),DATE(2025,4,11),"D")</f>
        <v>365</v>
      </c>
      <c r="F12" s="20" t="s">
        <v>46</v>
      </c>
      <c r="G12" s="34">
        <f>SUMIF('Raw Data'!K:K,F12,'Raw Data'!N:N)</f>
        <v>50808.310000000012</v>
      </c>
      <c r="H12" s="35">
        <f>COUNTIF('Raw Data'!K:K,F12)</f>
        <v>59</v>
      </c>
      <c r="I12" s="36">
        <f>IFERROR(G12/H12,0)</f>
        <v>861.15779661016973</v>
      </c>
    </row>
    <row r="13" spans="1:12" ht="15" customHeight="1" x14ac:dyDescent="0.3">
      <c r="A13" s="37" t="s">
        <v>806</v>
      </c>
      <c r="B13" s="38" t="str">
        <f ca="1">TEXT(NOW(),"DD-MMM-YYYY HH:MM:SS")</f>
        <v>28-Mar-2026 15:59:27</v>
      </c>
      <c r="C13" s="39" t="str">
        <f ca="1">TEXT(NOW(),"DD-MMM-YYYY HH:MM:SS")</f>
        <v>28-Mar-2026 15:59:27</v>
      </c>
      <c r="F13" s="13" t="s">
        <v>39</v>
      </c>
      <c r="G13" s="40">
        <f>SUMIF('Raw Data'!K:K,F13,'Raw Data'!N:N)</f>
        <v>36398.750000000007</v>
      </c>
      <c r="H13" s="41">
        <f>COUNTIF('Raw Data'!K:K,F13)</f>
        <v>42</v>
      </c>
      <c r="I13" s="42">
        <f>IFERROR(G13/H13,0)</f>
        <v>866.63690476190493</v>
      </c>
    </row>
    <row r="14" spans="1:12" ht="15" customHeight="1" x14ac:dyDescent="0.3">
      <c r="F14" s="20" t="s">
        <v>76</v>
      </c>
      <c r="G14" s="34">
        <f>SUMIF('Raw Data'!K:K,F14,'Raw Data'!N:N)</f>
        <v>59288.389999999992</v>
      </c>
      <c r="H14" s="35">
        <f>COUNTIF('Raw Data'!K:K,F14)</f>
        <v>48</v>
      </c>
      <c r="I14" s="36">
        <f>IFERROR(G14/H14,0)</f>
        <v>1235.1747916666666</v>
      </c>
    </row>
    <row r="15" spans="1:12" ht="15" customHeight="1" x14ac:dyDescent="0.3">
      <c r="A15" s="107" t="s">
        <v>807</v>
      </c>
      <c r="B15" s="107"/>
      <c r="C15" s="107"/>
      <c r="D15" s="107"/>
      <c r="F15" s="13" t="s">
        <v>59</v>
      </c>
      <c r="G15" s="40">
        <f>SUMIF('Raw Data'!K:K,F15,'Raw Data'!N:N)</f>
        <v>41408.680000000015</v>
      </c>
      <c r="H15" s="41">
        <f>COUNTIF('Raw Data'!K:K,F15)</f>
        <v>47</v>
      </c>
      <c r="I15" s="42">
        <f>IFERROR(G15/H15,0)</f>
        <v>881.03574468085139</v>
      </c>
    </row>
    <row r="16" spans="1:12" ht="15" customHeight="1" x14ac:dyDescent="0.3">
      <c r="A16" s="7" t="s">
        <v>0</v>
      </c>
      <c r="B16" s="8" t="s">
        <v>3</v>
      </c>
      <c r="C16" s="8" t="s">
        <v>6</v>
      </c>
      <c r="D16" s="9" t="s">
        <v>13</v>
      </c>
      <c r="F16" s="43" t="s">
        <v>21</v>
      </c>
      <c r="G16" s="44">
        <f>SUMIF('Raw Data'!K:K,F16,'Raw Data'!N:N)</f>
        <v>41288.340000000018</v>
      </c>
      <c r="H16" s="45">
        <f>COUNTIF('Raw Data'!K:K,F16)</f>
        <v>54</v>
      </c>
      <c r="I16" s="46">
        <f>IFERROR(G16/H16,0)</f>
        <v>764.59888888888918</v>
      </c>
    </row>
    <row r="17" spans="1:12" ht="15" customHeight="1" x14ac:dyDescent="0.3">
      <c r="A17" s="47" t="s">
        <v>808</v>
      </c>
      <c r="B17" s="38" t="str">
        <f>COUNTIF('Raw Data'!L:L,"Premium") &amp; " Premium transactions found"</f>
        <v>95 Premium transactions found</v>
      </c>
      <c r="C17" s="48">
        <f>SUMIF('Raw Data'!L:L,"Premium",'Raw Data'!N:N)</f>
        <v>84657.12000000001</v>
      </c>
      <c r="D17" s="31"/>
    </row>
    <row r="18" spans="1:12" ht="15" customHeight="1" x14ac:dyDescent="0.3">
      <c r="F18" s="107" t="s">
        <v>809</v>
      </c>
      <c r="G18" s="107"/>
      <c r="H18" s="107"/>
      <c r="I18" s="107"/>
      <c r="J18" s="107"/>
      <c r="K18" s="107"/>
      <c r="L18" s="107"/>
    </row>
    <row r="19" spans="1:12" ht="15" customHeight="1" x14ac:dyDescent="0.3">
      <c r="F19" s="7" t="s">
        <v>2</v>
      </c>
      <c r="G19" s="8" t="s">
        <v>3</v>
      </c>
      <c r="H19" s="8" t="s">
        <v>810</v>
      </c>
      <c r="I19" s="8" t="s">
        <v>790</v>
      </c>
      <c r="J19" s="8" t="s">
        <v>811</v>
      </c>
      <c r="K19" s="8" t="s">
        <v>812</v>
      </c>
      <c r="L19" s="9" t="s">
        <v>813</v>
      </c>
    </row>
    <row r="20" spans="1:12" ht="15" customHeight="1" x14ac:dyDescent="0.3">
      <c r="A20" s="107" t="s">
        <v>814</v>
      </c>
      <c r="B20" s="107"/>
      <c r="C20" s="107"/>
      <c r="D20" s="107"/>
      <c r="F20" s="17" t="s">
        <v>110</v>
      </c>
      <c r="G20" s="49" t="s">
        <v>111</v>
      </c>
      <c r="H20" s="21">
        <f>SUMIF('Raw Data'!C:C,F20,'Raw Data'!N:N)</f>
        <v>15659.65</v>
      </c>
      <c r="I20" s="22">
        <f>COUNTIF('Raw Data'!C:C,F20)</f>
        <v>12</v>
      </c>
      <c r="J20" s="21">
        <f t="shared" ref="J20:J31" si="0">IFERROR(H20/I20,0)</f>
        <v>1304.9708333333333</v>
      </c>
      <c r="K20" s="22" t="str">
        <f>IFERROR(INDEX('Raw Data'!L:L,MATCH(F20,'Raw Data'!C:C,0)),"")</f>
        <v>Premium</v>
      </c>
      <c r="L20" s="50" t="str">
        <f t="shared" ref="L20:L31" si="1">UPPER(LEFT(G20,1))&amp;"."&amp;UPPER(MID(G20,FIND(" ",G20)+1,1))&amp;"."</f>
        <v>M.C.</v>
      </c>
    </row>
    <row r="21" spans="1:12" ht="15" customHeight="1" x14ac:dyDescent="0.3">
      <c r="A21" s="7" t="s">
        <v>815</v>
      </c>
      <c r="B21" s="8" t="s">
        <v>816</v>
      </c>
      <c r="C21" s="8" t="s">
        <v>802</v>
      </c>
      <c r="D21" s="9" t="s">
        <v>817</v>
      </c>
      <c r="F21" s="10" t="s">
        <v>80</v>
      </c>
      <c r="G21" s="51" t="s">
        <v>81</v>
      </c>
      <c r="H21" s="14">
        <f>SUMIF('Raw Data'!C:C,F21,'Raw Data'!N:N)</f>
        <v>8009.7699999999995</v>
      </c>
      <c r="I21" s="15">
        <f>COUNTIF('Raw Data'!C:C,F21)</f>
        <v>8</v>
      </c>
      <c r="J21" s="14">
        <f t="shared" si="0"/>
        <v>1001.2212499999999</v>
      </c>
      <c r="K21" s="15" t="str">
        <f>IFERROR(INDEX('Raw Data'!L:L,MATCH(F21,'Raw Data'!C:C,0)),"")</f>
        <v>Premium</v>
      </c>
      <c r="L21" s="52" t="str">
        <f t="shared" si="1"/>
        <v>K.H.</v>
      </c>
    </row>
    <row r="22" spans="1:12" ht="15" customHeight="1" x14ac:dyDescent="0.3">
      <c r="A22" s="17">
        <v>4</v>
      </c>
      <c r="B22" s="49" t="s">
        <v>818</v>
      </c>
      <c r="C22" s="21">
        <f>SUMPRODUCT((MONTH('Raw Data'!B$2:B$251)=4)*(YEAR('Raw Data'!B$2:B$251)=2024)*('Raw Data'!N$2:N$251))</f>
        <v>20919.330000000002</v>
      </c>
      <c r="D22" s="50">
        <f>SUMPRODUCT((MONTH('Raw Data'!B$2:B$251)=4)*(YEAR('Raw Data'!B$2:B$251)=2024)*1)</f>
        <v>21</v>
      </c>
      <c r="F22" s="17" t="s">
        <v>130</v>
      </c>
      <c r="G22" s="49" t="s">
        <v>131</v>
      </c>
      <c r="H22" s="21">
        <f>SUMIF('Raw Data'!C:C,F22,'Raw Data'!N:N)</f>
        <v>9799.73</v>
      </c>
      <c r="I22" s="22">
        <f>COUNTIF('Raw Data'!C:C,F22)</f>
        <v>8</v>
      </c>
      <c r="J22" s="21">
        <f t="shared" si="0"/>
        <v>1224.9662499999999</v>
      </c>
      <c r="K22" s="22" t="str">
        <f>IFERROR(INDEX('Raw Data'!L:L,MATCH(F22,'Raw Data'!C:C,0)),"")</f>
        <v>Standard</v>
      </c>
      <c r="L22" s="50" t="str">
        <f t="shared" si="1"/>
        <v>P.M.</v>
      </c>
    </row>
    <row r="23" spans="1:12" ht="15" customHeight="1" x14ac:dyDescent="0.3">
      <c r="A23" s="10">
        <v>5</v>
      </c>
      <c r="B23" s="51" t="s">
        <v>819</v>
      </c>
      <c r="C23" s="14">
        <f>SUMPRODUCT((MONTH('Raw Data'!B$2:B$251)=5)*(YEAR('Raw Data'!B$2:B$251)=2024)*('Raw Data'!N$2:N$251))</f>
        <v>17039.349999999999</v>
      </c>
      <c r="D23" s="52">
        <f>SUMPRODUCT((MONTH('Raw Data'!B$2:B$251)=5)*(YEAR('Raw Data'!B$2:B$251)=2024)*1)</f>
        <v>19</v>
      </c>
      <c r="F23" s="10" t="s">
        <v>49</v>
      </c>
      <c r="G23" s="51" t="s">
        <v>50</v>
      </c>
      <c r="H23" s="14">
        <f>SUMIF('Raw Data'!C:C,F23,'Raw Data'!N:N)</f>
        <v>6169.7400000000007</v>
      </c>
      <c r="I23" s="15">
        <f>COUNTIF('Raw Data'!C:C,F23)</f>
        <v>9</v>
      </c>
      <c r="J23" s="14">
        <f t="shared" si="0"/>
        <v>685.52666666666676</v>
      </c>
      <c r="K23" s="15" t="str">
        <f>IFERROR(INDEX('Raw Data'!L:L,MATCH(F23,'Raw Data'!C:C,0)),"")</f>
        <v>Premium</v>
      </c>
      <c r="L23" s="52" t="str">
        <f t="shared" si="1"/>
        <v>M.B.</v>
      </c>
    </row>
    <row r="24" spans="1:12" ht="15" customHeight="1" x14ac:dyDescent="0.3">
      <c r="A24" s="17">
        <v>6</v>
      </c>
      <c r="B24" s="49" t="s">
        <v>820</v>
      </c>
      <c r="C24" s="21">
        <f>SUMPRODUCT((MONTH('Raw Data'!B$2:B$251)=6)*(YEAR('Raw Data'!B$2:B$251)=2024)*('Raw Data'!N$2:N$251))</f>
        <v>19299.45</v>
      </c>
      <c r="D24" s="50">
        <f>SUMPRODUCT((MONTH('Raw Data'!B$2:B$251)=6)*(YEAR('Raw Data'!B$2:B$251)=2024)*1)</f>
        <v>19</v>
      </c>
      <c r="F24" s="17" t="s">
        <v>26</v>
      </c>
      <c r="G24" s="49" t="s">
        <v>27</v>
      </c>
      <c r="H24" s="21">
        <f>SUMIF('Raw Data'!C:C,F24,'Raw Data'!N:N)</f>
        <v>6949.84</v>
      </c>
      <c r="I24" s="22">
        <f>COUNTIF('Raw Data'!C:C,F24)</f>
        <v>5</v>
      </c>
      <c r="J24" s="21">
        <f t="shared" si="0"/>
        <v>1389.9680000000001</v>
      </c>
      <c r="K24" s="22" t="str">
        <f>IFERROR(INDEX('Raw Data'!L:L,MATCH(F24,'Raw Data'!C:C,0)),"")</f>
        <v>Premium</v>
      </c>
      <c r="L24" s="50" t="str">
        <f t="shared" si="1"/>
        <v>J.J.</v>
      </c>
    </row>
    <row r="25" spans="1:12" ht="15" customHeight="1" x14ac:dyDescent="0.3">
      <c r="A25" s="10">
        <v>7</v>
      </c>
      <c r="B25" s="51" t="s">
        <v>821</v>
      </c>
      <c r="C25" s="14">
        <f>SUMPRODUCT((MONTH('Raw Data'!B$2:B$251)=7)*(YEAR('Raw Data'!B$2:B$251)=2024)*('Raw Data'!N$2:N$251))</f>
        <v>18479.399999999994</v>
      </c>
      <c r="D25" s="52">
        <f>SUMPRODUCT((MONTH('Raw Data'!B$2:B$251)=7)*(YEAR('Raw Data'!B$2:B$251)=2024)*1)</f>
        <v>24</v>
      </c>
      <c r="F25" s="10" t="s">
        <v>168</v>
      </c>
      <c r="G25" s="51" t="s">
        <v>169</v>
      </c>
      <c r="H25" s="14">
        <f>SUMIF('Raw Data'!C:C,F25,'Raw Data'!N:N)</f>
        <v>11919.769999999999</v>
      </c>
      <c r="I25" s="15">
        <f>COUNTIF('Raw Data'!C:C,F25)</f>
        <v>6</v>
      </c>
      <c r="J25" s="14">
        <f t="shared" si="0"/>
        <v>1986.6283333333331</v>
      </c>
      <c r="K25" s="15" t="str">
        <f>IFERROR(INDEX('Raw Data'!L:L,MATCH(F25,'Raw Data'!C:C,0)),"")</f>
        <v>Standard</v>
      </c>
      <c r="L25" s="52" t="str">
        <f t="shared" si="1"/>
        <v>E.M.</v>
      </c>
    </row>
    <row r="26" spans="1:12" ht="15" customHeight="1" x14ac:dyDescent="0.3">
      <c r="A26" s="17">
        <v>8</v>
      </c>
      <c r="B26" s="49" t="s">
        <v>822</v>
      </c>
      <c r="C26" s="21">
        <f>SUMPRODUCT((MONTH('Raw Data'!B$2:B$251)=8)*(YEAR('Raw Data'!B$2:B$251)=2024)*('Raw Data'!N$2:N$251))</f>
        <v>15759.429999999997</v>
      </c>
      <c r="D26" s="50">
        <f>SUMPRODUCT((MONTH('Raw Data'!B$2:B$251)=8)*(YEAR('Raw Data'!B$2:B$251)=2024)*1)</f>
        <v>18</v>
      </c>
      <c r="F26" s="17" t="s">
        <v>163</v>
      </c>
      <c r="G26" s="49" t="s">
        <v>164</v>
      </c>
      <c r="H26" s="21">
        <f>SUMIF('Raw Data'!C:C,F26,'Raw Data'!N:N)</f>
        <v>6459.79</v>
      </c>
      <c r="I26" s="22">
        <f>COUNTIF('Raw Data'!C:C,F26)</f>
        <v>7</v>
      </c>
      <c r="J26" s="21">
        <f t="shared" si="0"/>
        <v>922.8271428571428</v>
      </c>
      <c r="K26" s="22" t="str">
        <f>IFERROR(INDEX('Raw Data'!L:L,MATCH(F26,'Raw Data'!C:C,0)),"")</f>
        <v>Standard</v>
      </c>
      <c r="L26" s="50" t="str">
        <f t="shared" si="1"/>
        <v>H.R.</v>
      </c>
    </row>
    <row r="27" spans="1:12" ht="15" customHeight="1" x14ac:dyDescent="0.3">
      <c r="A27" s="10">
        <v>9</v>
      </c>
      <c r="B27" s="51" t="s">
        <v>823</v>
      </c>
      <c r="C27" s="14">
        <f>SUMPRODUCT((MONTH('Raw Data'!B$2:B$251)=9)*(YEAR('Raw Data'!B$2:B$251)=2024)*('Raw Data'!N$2:N$251))</f>
        <v>12989.509999999997</v>
      </c>
      <c r="D27" s="52">
        <f>SUMPRODUCT((MONTH('Raw Data'!B$2:B$251)=9)*(YEAR('Raw Data'!B$2:B$251)=2024)*1)</f>
        <v>19</v>
      </c>
      <c r="F27" s="10" t="s">
        <v>211</v>
      </c>
      <c r="G27" s="51" t="s">
        <v>212</v>
      </c>
      <c r="H27" s="14">
        <f>SUMIF('Raw Data'!C:C,F27,'Raw Data'!N:N)</f>
        <v>7309.7999999999993</v>
      </c>
      <c r="I27" s="15">
        <f>COUNTIF('Raw Data'!C:C,F27)</f>
        <v>7</v>
      </c>
      <c r="J27" s="14">
        <f t="shared" si="0"/>
        <v>1044.2571428571428</v>
      </c>
      <c r="K27" s="15" t="str">
        <f>IFERROR(INDEX('Raw Data'!L:L,MATCH(F27,'Raw Data'!C:C,0)),"")</f>
        <v>Standard</v>
      </c>
      <c r="L27" s="52" t="str">
        <f t="shared" si="1"/>
        <v>D.K.</v>
      </c>
    </row>
    <row r="28" spans="1:12" ht="15" customHeight="1" x14ac:dyDescent="0.3">
      <c r="A28" s="17">
        <v>10</v>
      </c>
      <c r="B28" s="49" t="s">
        <v>824</v>
      </c>
      <c r="C28" s="21">
        <f>SUMPRODUCT((MONTH('Raw Data'!B$2:B$251)=10)*(YEAR('Raw Data'!B$2:B$251)=2024)*('Raw Data'!N$2:N$251))</f>
        <v>20609.52</v>
      </c>
      <c r="D28" s="50">
        <f>SUMPRODUCT((MONTH('Raw Data'!B$2:B$251)=10)*(YEAR('Raw Data'!B$2:B$251)=2024)*1)</f>
        <v>16</v>
      </c>
      <c r="F28" s="17" t="s">
        <v>384</v>
      </c>
      <c r="G28" s="49" t="s">
        <v>385</v>
      </c>
      <c r="H28" s="21">
        <f>SUMIF('Raw Data'!C:C,F28,'Raw Data'!N:N)</f>
        <v>6989.7699999999986</v>
      </c>
      <c r="I28" s="22">
        <f>COUNTIF('Raw Data'!C:C,F28)</f>
        <v>8</v>
      </c>
      <c r="J28" s="21">
        <f t="shared" si="0"/>
        <v>873.72124999999983</v>
      </c>
      <c r="K28" s="22" t="str">
        <f>IFERROR(INDEX('Raw Data'!L:L,MATCH(F28,'Raw Data'!C:C,0)),"")</f>
        <v>Premium</v>
      </c>
      <c r="L28" s="50" t="str">
        <f t="shared" si="1"/>
        <v>L.R.</v>
      </c>
    </row>
    <row r="29" spans="1:12" ht="15" customHeight="1" x14ac:dyDescent="0.3">
      <c r="A29" s="10">
        <v>11</v>
      </c>
      <c r="B29" s="51" t="s">
        <v>825</v>
      </c>
      <c r="C29" s="14">
        <f>SUMPRODUCT((MONTH('Raw Data'!B$2:B$251)=11)*(YEAR('Raw Data'!B$2:B$251)=2024)*('Raw Data'!N$2:N$251))</f>
        <v>12309.439999999999</v>
      </c>
      <c r="D29" s="52">
        <f>SUMPRODUCT((MONTH('Raw Data'!B$2:B$251)=11)*(YEAR('Raw Data'!B$2:B$251)=2024)*1)</f>
        <v>17</v>
      </c>
      <c r="F29" s="10" t="s">
        <v>66</v>
      </c>
      <c r="G29" s="51" t="s">
        <v>67</v>
      </c>
      <c r="H29" s="14">
        <f>SUMIF('Raw Data'!C:C,F29,'Raw Data'!N:N)</f>
        <v>5089.7300000000005</v>
      </c>
      <c r="I29" s="15">
        <f>COUNTIF('Raw Data'!C:C,F29)</f>
        <v>9</v>
      </c>
      <c r="J29" s="14">
        <f t="shared" si="0"/>
        <v>565.52555555555557</v>
      </c>
      <c r="K29" s="15" t="str">
        <f>IFERROR(INDEX('Raw Data'!L:L,MATCH(F29,'Raw Data'!C:C,0)),"")</f>
        <v>Basic</v>
      </c>
      <c r="L29" s="52" t="str">
        <f t="shared" si="1"/>
        <v>C.A.</v>
      </c>
    </row>
    <row r="30" spans="1:12" ht="15" customHeight="1" x14ac:dyDescent="0.3">
      <c r="A30" s="17">
        <v>12</v>
      </c>
      <c r="B30" s="49" t="s">
        <v>826</v>
      </c>
      <c r="C30" s="21">
        <f>SUMPRODUCT((MONTH('Raw Data'!B$2:B$251)=12)*(YEAR('Raw Data'!B$2:B$251)=2024)*('Raw Data'!N$2:N$251))</f>
        <v>23039.3</v>
      </c>
      <c r="D30" s="50">
        <f>SUMPRODUCT((MONTH('Raw Data'!B$2:B$251)=12)*(YEAR('Raw Data'!B$2:B$251)=2024)*1)</f>
        <v>25</v>
      </c>
      <c r="F30" s="17" t="s">
        <v>15</v>
      </c>
      <c r="G30" s="49" t="s">
        <v>16</v>
      </c>
      <c r="H30" s="21">
        <f>SUMIF('Raw Data'!C:C,F30,'Raw Data'!N:N)</f>
        <v>8309.739999999998</v>
      </c>
      <c r="I30" s="22">
        <f>COUNTIF('Raw Data'!C:C,F30)</f>
        <v>8</v>
      </c>
      <c r="J30" s="21">
        <f t="shared" si="0"/>
        <v>1038.7174999999997</v>
      </c>
      <c r="K30" s="22" t="str">
        <f>IFERROR(INDEX('Raw Data'!L:L,MATCH(F30,'Raw Data'!C:C,0)),"")</f>
        <v>Basic</v>
      </c>
      <c r="L30" s="50" t="str">
        <f t="shared" si="1"/>
        <v>P.B.</v>
      </c>
    </row>
    <row r="31" spans="1:12" ht="15" customHeight="1" x14ac:dyDescent="0.3">
      <c r="A31" s="10">
        <v>1</v>
      </c>
      <c r="B31" s="51" t="s">
        <v>827</v>
      </c>
      <c r="C31" s="14">
        <f>SUMPRODUCT((MONTH('Raw Data'!B$2:B$251)=1)*(YEAR('Raw Data'!B$2:B$251)=2025)*('Raw Data'!N$2:N$251))</f>
        <v>25799.15</v>
      </c>
      <c r="D31" s="52">
        <f>SUMPRODUCT((MONTH('Raw Data'!B$2:B$251)=1)*(YEAR('Raw Data'!B$2:B$251)=2025)*1)</f>
        <v>26</v>
      </c>
      <c r="F31" s="37" t="s">
        <v>57</v>
      </c>
      <c r="G31" s="53" t="s">
        <v>58</v>
      </c>
      <c r="H31" s="54">
        <f>SUMIF('Raw Data'!C:C,F31,'Raw Data'!N:N)</f>
        <v>8269.7900000000009</v>
      </c>
      <c r="I31" s="55">
        <f>COUNTIF('Raw Data'!C:C,F31)</f>
        <v>6</v>
      </c>
      <c r="J31" s="54">
        <f t="shared" si="0"/>
        <v>1378.2983333333334</v>
      </c>
      <c r="K31" s="55" t="str">
        <f>IFERROR(INDEX('Raw Data'!L:L,MATCH(F31,'Raw Data'!C:C,0)),"")</f>
        <v>Standard</v>
      </c>
      <c r="L31" s="56" t="str">
        <f t="shared" si="1"/>
        <v>D.N.</v>
      </c>
    </row>
    <row r="32" spans="1:12" ht="15" customHeight="1" x14ac:dyDescent="0.3">
      <c r="A32" s="17">
        <v>2</v>
      </c>
      <c r="B32" s="49" t="s">
        <v>828</v>
      </c>
      <c r="C32" s="21">
        <f>SUMPRODUCT((MONTH('Raw Data'!B$2:B$251)=2)*(YEAR('Raw Data'!B$2:B$251)=2025)*('Raw Data'!N$2:N$251))</f>
        <v>16069.379999999997</v>
      </c>
      <c r="D32" s="50">
        <f>SUMPRODUCT((MONTH('Raw Data'!B$2:B$251)=2)*(YEAR('Raw Data'!B$2:B$251)=2025)*1)</f>
        <v>20</v>
      </c>
    </row>
    <row r="33" spans="1:12" ht="15" customHeight="1" x14ac:dyDescent="0.3">
      <c r="A33" s="10">
        <v>3</v>
      </c>
      <c r="B33" s="51" t="s">
        <v>829</v>
      </c>
      <c r="C33" s="14">
        <f>SUMPRODUCT((MONTH('Raw Data'!B$2:B$251)=3)*(YEAR('Raw Data'!B$2:B$251)=2025)*('Raw Data'!N$2:N$251))</f>
        <v>19899.379999999997</v>
      </c>
      <c r="D33" s="52">
        <f>SUMPRODUCT((MONTH('Raw Data'!B$2:B$251)=3)*(YEAR('Raw Data'!B$2:B$251)=2025)*1)</f>
        <v>19</v>
      </c>
      <c r="F33" s="106" t="s">
        <v>830</v>
      </c>
      <c r="G33" s="106"/>
      <c r="H33" s="106"/>
      <c r="I33" s="106"/>
      <c r="J33" s="106"/>
      <c r="K33" s="106"/>
      <c r="L33" s="106"/>
    </row>
    <row r="34" spans="1:12" ht="15" customHeight="1" x14ac:dyDescent="0.3">
      <c r="A34" s="57">
        <v>4</v>
      </c>
      <c r="B34" s="58" t="s">
        <v>831</v>
      </c>
      <c r="C34" s="59">
        <f>SUMPRODUCT((MONTH('Raw Data'!B$2:B$251)=4)*(YEAR('Raw Data'!B$2:B$251)=2025)*('Raw Data'!N$2:N$251))</f>
        <v>6979.829999999999</v>
      </c>
      <c r="D34" s="60">
        <f>SUMPRODUCT((MONTH('Raw Data'!B$2:B$251)=4)*(YEAR('Raw Data'!B$2:B$251)=2025)*1)</f>
        <v>7</v>
      </c>
      <c r="F34" s="7" t="s">
        <v>832</v>
      </c>
      <c r="G34" s="8" t="s">
        <v>833</v>
      </c>
      <c r="H34" s="8" t="s">
        <v>802</v>
      </c>
      <c r="I34" s="9" t="s">
        <v>834</v>
      </c>
    </row>
    <row r="35" spans="1:12" ht="15" customHeight="1" x14ac:dyDescent="0.3">
      <c r="F35" s="13" t="s">
        <v>20</v>
      </c>
      <c r="G35" s="15">
        <f>COUNTIF('Raw Data'!J:J,F35)</f>
        <v>76</v>
      </c>
      <c r="H35" s="14">
        <f>SUMIF('Raw Data'!J:J,F35,'Raw Data'!N:N)</f>
        <v>57427.790000000023</v>
      </c>
      <c r="I35" s="16">
        <f>IFERROR(H35/SUM(H35:H38),0)</f>
        <v>0.25056577993160078</v>
      </c>
    </row>
    <row r="36" spans="1:12" ht="15" customHeight="1" x14ac:dyDescent="0.3">
      <c r="A36" s="107" t="s">
        <v>835</v>
      </c>
      <c r="B36" s="107"/>
      <c r="C36" s="107"/>
      <c r="D36" s="107"/>
      <c r="F36" s="20" t="s">
        <v>28</v>
      </c>
      <c r="G36" s="22">
        <f>COUNTIF('Raw Data'!J:J,F36)</f>
        <v>68</v>
      </c>
      <c r="H36" s="21">
        <f>SUMIF('Raw Data'!J:J,F36,'Raw Data'!N:N)</f>
        <v>61447.960000000014</v>
      </c>
      <c r="I36" s="23">
        <f>IFERROR(H36/SUM(H35:H38),0)</f>
        <v>0.26810636492551437</v>
      </c>
    </row>
    <row r="37" spans="1:12" ht="15" customHeight="1" x14ac:dyDescent="0.3">
      <c r="A37" s="7" t="s">
        <v>836</v>
      </c>
      <c r="B37" s="8" t="s">
        <v>833</v>
      </c>
      <c r="C37" s="8" t="s">
        <v>802</v>
      </c>
      <c r="D37" s="9" t="s">
        <v>837</v>
      </c>
      <c r="F37" s="13" t="s">
        <v>68</v>
      </c>
      <c r="G37" s="15">
        <f>COUNTIF('Raw Data'!J:J,F37)</f>
        <v>54</v>
      </c>
      <c r="H37" s="14">
        <f>SUMIF('Raw Data'!J:J,F37,'Raw Data'!N:N)</f>
        <v>52118.310000000005</v>
      </c>
      <c r="I37" s="16">
        <f>IFERROR(H37/SUM(H35:H38),0)</f>
        <v>0.22739974834251753</v>
      </c>
    </row>
    <row r="38" spans="1:12" ht="15" customHeight="1" x14ac:dyDescent="0.3">
      <c r="A38" s="20" t="s">
        <v>75</v>
      </c>
      <c r="B38" s="22">
        <f>COUNTIF('Raw Data'!F:F,A38)</f>
        <v>24</v>
      </c>
      <c r="C38" s="21">
        <f>SUMIF('Raw Data'!F:F,A38,'Raw Data'!N:N)</f>
        <v>67499.25</v>
      </c>
      <c r="D38" s="50">
        <f t="shared" ref="D38:D47" si="2">RANK(B38,B$38:B$47,0)</f>
        <v>7</v>
      </c>
      <c r="F38" s="43" t="s">
        <v>38</v>
      </c>
      <c r="G38" s="61">
        <f>COUNTIF('Raw Data'!J:J,F38)</f>
        <v>52</v>
      </c>
      <c r="H38" s="59">
        <f>SUMIF('Raw Data'!J:J,F38,'Raw Data'!N:N)</f>
        <v>58198.409999999996</v>
      </c>
      <c r="I38" s="62">
        <f>IFERROR(H38/SUM(H35:H38),0)</f>
        <v>0.25392810680036737</v>
      </c>
    </row>
    <row r="39" spans="1:12" ht="15" customHeight="1" x14ac:dyDescent="0.3">
      <c r="A39" s="13" t="s">
        <v>102</v>
      </c>
      <c r="B39" s="15">
        <f>COUNTIF('Raw Data'!F:F,A39)</f>
        <v>31</v>
      </c>
      <c r="C39" s="14">
        <f>SUMIF('Raw Data'!F:F,A39,'Raw Data'!N:N)</f>
        <v>67199.039999999994</v>
      </c>
      <c r="D39" s="52">
        <f t="shared" si="2"/>
        <v>3</v>
      </c>
    </row>
    <row r="40" spans="1:12" ht="15" customHeight="1" x14ac:dyDescent="0.3">
      <c r="A40" s="20" t="s">
        <v>63</v>
      </c>
      <c r="B40" s="22">
        <f>COUNTIF('Raw Data'!F:F,A40)</f>
        <v>16</v>
      </c>
      <c r="C40" s="21">
        <f>SUMIF('Raw Data'!F:F,A40,'Raw Data'!N:N)</f>
        <v>7049.5299999999988</v>
      </c>
      <c r="D40" s="50">
        <f t="shared" si="2"/>
        <v>8</v>
      </c>
      <c r="F40" s="106" t="s">
        <v>838</v>
      </c>
      <c r="G40" s="106"/>
      <c r="H40" s="106"/>
      <c r="I40" s="106"/>
      <c r="J40" s="106"/>
      <c r="K40" s="106"/>
      <c r="L40" s="106"/>
    </row>
    <row r="41" spans="1:12" ht="15" customHeight="1" x14ac:dyDescent="0.3">
      <c r="A41" s="13" t="s">
        <v>155</v>
      </c>
      <c r="B41" s="15">
        <f>COUNTIF('Raw Data'!F:F,A41)</f>
        <v>14</v>
      </c>
      <c r="C41" s="14">
        <f>SUMIF('Raw Data'!F:F,A41,'Raw Data'!N:N)</f>
        <v>3119.6099999999992</v>
      </c>
      <c r="D41" s="52">
        <f t="shared" si="2"/>
        <v>10</v>
      </c>
      <c r="F41" s="13" t="s">
        <v>839</v>
      </c>
      <c r="G41" s="63">
        <f>SUMIF('Raw Data'!G:G,"Electronics",'Raw Data'!N:N)+SUMIF('Raw Data'!G:G,"Furniture",'Raw Data'!N:N)+SUMIF('Raw Data'!G:G,"Appliances",'Raw Data'!N:N)</f>
        <v>229192.47000000015</v>
      </c>
    </row>
    <row r="42" spans="1:12" ht="15" customHeight="1" x14ac:dyDescent="0.3">
      <c r="A42" s="20" t="s">
        <v>36</v>
      </c>
      <c r="B42" s="22">
        <f>COUNTIF('Raw Data'!F:F,A42)</f>
        <v>29</v>
      </c>
      <c r="C42" s="21">
        <f>SUMIF('Raw Data'!F:F,A42,'Raw Data'!N:N)</f>
        <v>5219.1299999999974</v>
      </c>
      <c r="D42" s="50">
        <f t="shared" si="2"/>
        <v>4</v>
      </c>
      <c r="F42" s="13" t="s">
        <v>840</v>
      </c>
      <c r="G42" s="64">
        <v>0.1</v>
      </c>
    </row>
    <row r="43" spans="1:12" ht="15" customHeight="1" x14ac:dyDescent="0.3">
      <c r="A43" s="13" t="s">
        <v>173</v>
      </c>
      <c r="B43" s="15">
        <f>COUNTIF('Raw Data'!F:F,A43)</f>
        <v>15</v>
      </c>
      <c r="C43" s="14">
        <f>SUMIF('Raw Data'!F:F,A43,'Raw Data'!N:N)</f>
        <v>10399.479999999998</v>
      </c>
      <c r="D43" s="52">
        <f t="shared" si="2"/>
        <v>9</v>
      </c>
      <c r="F43" s="13" t="s">
        <v>841</v>
      </c>
      <c r="G43" s="63">
        <f>G41*(1+G42)</f>
        <v>252111.71700000018</v>
      </c>
    </row>
    <row r="44" spans="1:12" ht="15" customHeight="1" x14ac:dyDescent="0.3">
      <c r="A44" s="20" t="s">
        <v>141</v>
      </c>
      <c r="B44" s="22">
        <f>COUNTIF('Raw Data'!F:F,A44)</f>
        <v>26</v>
      </c>
      <c r="C44" s="21">
        <f>SUMIF('Raw Data'!F:F,A44,'Raw Data'!N:N)</f>
        <v>23399.22</v>
      </c>
      <c r="D44" s="50">
        <f t="shared" si="2"/>
        <v>5</v>
      </c>
      <c r="F44" s="13" t="s">
        <v>842</v>
      </c>
      <c r="G44" s="63">
        <f>G41*1.2</f>
        <v>275030.96400000015</v>
      </c>
    </row>
    <row r="45" spans="1:12" ht="15" customHeight="1" x14ac:dyDescent="0.3">
      <c r="A45" s="13" t="s">
        <v>52</v>
      </c>
      <c r="B45" s="15">
        <f>COUNTIF('Raw Data'!F:F,A45)</f>
        <v>35</v>
      </c>
      <c r="C45" s="14">
        <f>SUMIF('Raw Data'!F:F,A45,'Raw Data'!N:N)</f>
        <v>15298.979999999994</v>
      </c>
      <c r="D45" s="52">
        <f t="shared" si="2"/>
        <v>1</v>
      </c>
      <c r="F45" s="13" t="s">
        <v>843</v>
      </c>
      <c r="G45" s="63">
        <f>G41*0.95</f>
        <v>217732.84650000013</v>
      </c>
    </row>
    <row r="46" spans="1:12" ht="15" customHeight="1" x14ac:dyDescent="0.3">
      <c r="A46" s="20" t="s">
        <v>18</v>
      </c>
      <c r="B46" s="22">
        <f>COUNTIF('Raw Data'!F:F,A46)</f>
        <v>26</v>
      </c>
      <c r="C46" s="21">
        <f>SUMIF('Raw Data'!F:F,A46,'Raw Data'!N:N)</f>
        <v>21999.119999999999</v>
      </c>
      <c r="D46" s="50">
        <f t="shared" si="2"/>
        <v>5</v>
      </c>
      <c r="F46" s="13" t="s">
        <v>844</v>
      </c>
      <c r="G46" s="65">
        <v>100000</v>
      </c>
    </row>
    <row r="47" spans="1:12" ht="15" customHeight="1" x14ac:dyDescent="0.3">
      <c r="A47" s="13" t="s">
        <v>159</v>
      </c>
      <c r="B47" s="15">
        <f>COUNTIF('Raw Data'!F:F,A47)</f>
        <v>34</v>
      </c>
      <c r="C47" s="14">
        <f>SUMIF('Raw Data'!F:F,A47,'Raw Data'!N:N)</f>
        <v>8009.1099999999969</v>
      </c>
      <c r="D47" s="52">
        <f t="shared" si="2"/>
        <v>2</v>
      </c>
      <c r="F47" s="66" t="s">
        <v>845</v>
      </c>
      <c r="G47" s="67">
        <f>IFERROR(G46/G41-1,0)</f>
        <v>-0.56368549106347188</v>
      </c>
    </row>
    <row r="48" spans="1:12" ht="15" customHeight="1" x14ac:dyDescent="0.3">
      <c r="A48" s="66" t="s">
        <v>846</v>
      </c>
      <c r="B48" s="68" t="str">
        <f>INDEX(A38:A47,MATCH(MAX(B38:B47),B38:B47,0))</f>
        <v>Bookshelf</v>
      </c>
      <c r="C48" s="69"/>
      <c r="D48" s="31"/>
    </row>
    <row r="49" spans="6:12" ht="15" customHeight="1" x14ac:dyDescent="0.3">
      <c r="F49" s="106" t="s">
        <v>847</v>
      </c>
      <c r="G49" s="106"/>
      <c r="H49" s="106"/>
      <c r="I49" s="106"/>
      <c r="J49" s="106"/>
      <c r="K49" s="106"/>
      <c r="L49" s="106"/>
    </row>
    <row r="50" spans="6:12" ht="15" customHeight="1" x14ac:dyDescent="0.3">
      <c r="F50" s="7" t="s">
        <v>848</v>
      </c>
      <c r="G50" s="8" t="s">
        <v>849</v>
      </c>
      <c r="H50" s="9" t="s">
        <v>850</v>
      </c>
    </row>
    <row r="51" spans="6:12" ht="15" customHeight="1" x14ac:dyDescent="0.3">
      <c r="F51" s="10" t="s">
        <v>111</v>
      </c>
      <c r="G51" s="41" t="s">
        <v>81</v>
      </c>
      <c r="H51" s="32" t="str">
        <f>IF(ISNUMBER(MATCH(F51,G$51:G$55,0)),"✓ Match","✗ No Match")</f>
        <v>✓ Match</v>
      </c>
    </row>
    <row r="52" spans="6:12" ht="15" customHeight="1" x14ac:dyDescent="0.3">
      <c r="F52" s="10" t="s">
        <v>131</v>
      </c>
      <c r="G52" s="41" t="s">
        <v>126</v>
      </c>
      <c r="H52" s="32" t="str">
        <f>IF(ISNUMBER(MATCH(F52,G$51:G$55,0)),"✓ Match","✗ No Match")</f>
        <v>✓ Match</v>
      </c>
    </row>
    <row r="53" spans="6:12" ht="15" customHeight="1" x14ac:dyDescent="0.3">
      <c r="F53" s="10" t="s">
        <v>27</v>
      </c>
      <c r="G53" s="41" t="s">
        <v>131</v>
      </c>
      <c r="H53" s="32" t="str">
        <f>IF(ISNUMBER(MATCH(F53,G$51:G$55,0)),"✓ Match","✗ No Match")</f>
        <v>✗ No Match</v>
      </c>
    </row>
    <row r="54" spans="6:12" ht="15" customHeight="1" x14ac:dyDescent="0.3">
      <c r="F54" s="10" t="s">
        <v>81</v>
      </c>
      <c r="G54" s="41" t="s">
        <v>231</v>
      </c>
      <c r="H54" s="32" t="str">
        <f>IF(ISNUMBER(MATCH(F54,G$51:G$55,0)),"✓ Match","✗ No Match")</f>
        <v>✓ Match</v>
      </c>
    </row>
    <row r="55" spans="6:12" ht="15" customHeight="1" x14ac:dyDescent="0.3">
      <c r="F55" s="37" t="s">
        <v>164</v>
      </c>
      <c r="G55" s="70" t="s">
        <v>111</v>
      </c>
      <c r="H55" s="39" t="str">
        <f>IF(ISNUMBER(MATCH(F55,G$51:G$55,0)),"✓ Match","✗ No Match")</f>
        <v>✗ No Match</v>
      </c>
    </row>
  </sheetData>
  <mergeCells count="11">
    <mergeCell ref="A1:L1"/>
    <mergeCell ref="A3:D3"/>
    <mergeCell ref="F3:L3"/>
    <mergeCell ref="F10:L10"/>
    <mergeCell ref="A15:D15"/>
    <mergeCell ref="F49:L49"/>
    <mergeCell ref="F18:L18"/>
    <mergeCell ref="A20:D20"/>
    <mergeCell ref="F33:L33"/>
    <mergeCell ref="A36:D36"/>
    <mergeCell ref="F40:L40"/>
  </mergeCells>
  <conditionalFormatting sqref="C5:C7">
    <cfRule type="colorScale" priority="2">
      <colorScale>
        <cfvo type="min"/>
        <cfvo type="max"/>
        <color rgb="FFFFFFFF"/>
        <color rgb="FF2E75B6"/>
      </colorScale>
    </cfRule>
  </conditionalFormatting>
  <conditionalFormatting sqref="H20:H34">
    <cfRule type="dataBar" priority="3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{82DA3BD5-1978-4D93-B140-752B7A3FD89A}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DA3BD5-1978-4D93-B140-752B7A3FD89A}">
            <x14:dataBar axisPosition="none">
              <x14:cfvo type="min"/>
              <x14:cfvo type="max"/>
              <x14:negativeFillColor rgb="FF2E75B6"/>
            </x14:dataBar>
          </x14:cfRule>
          <xm:sqref>H20:H34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P31"/>
  <sheetViews>
    <sheetView showGridLines="0" zoomScaleNormal="100" workbookViewId="0">
      <selection sqref="A1:P1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2" customWidth="1"/>
    <col min="4" max="4" width="2" customWidth="1"/>
    <col min="5" max="5" width="15" customWidth="1"/>
    <col min="6" max="6" width="12" customWidth="1"/>
    <col min="7" max="7" width="16" customWidth="1"/>
  </cols>
  <sheetData>
    <row r="1" spans="1:16" ht="30" customHeight="1" x14ac:dyDescent="0.3">
      <c r="A1" s="108" t="s">
        <v>851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3" spans="1:16" ht="15" customHeight="1" x14ac:dyDescent="0.3">
      <c r="A3" s="106" t="s">
        <v>852</v>
      </c>
      <c r="B3" s="106"/>
      <c r="C3" s="106"/>
      <c r="D3" s="106"/>
      <c r="E3" s="107" t="s">
        <v>853</v>
      </c>
      <c r="F3" s="107"/>
      <c r="G3" s="107"/>
    </row>
    <row r="4" spans="1:16" ht="15" customHeight="1" x14ac:dyDescent="0.3">
      <c r="A4" s="7" t="s">
        <v>6</v>
      </c>
      <c r="B4" s="8" t="s">
        <v>802</v>
      </c>
      <c r="C4" s="9" t="s">
        <v>817</v>
      </c>
      <c r="E4" s="7" t="s">
        <v>854</v>
      </c>
      <c r="F4" s="8" t="s">
        <v>833</v>
      </c>
      <c r="G4" s="9" t="s">
        <v>802</v>
      </c>
    </row>
    <row r="5" spans="1:16" ht="15" customHeight="1" x14ac:dyDescent="0.3">
      <c r="A5" s="13" t="s">
        <v>19</v>
      </c>
      <c r="B5" s="71">
        <f>SUMIF('Raw Data'!G:G,"Electronics",'Raw Data'!N:N)</f>
        <v>171756.05000000013</v>
      </c>
      <c r="C5" s="72">
        <f>COUNTIF('Raw Data'!G:G,"Electronics")</f>
        <v>131</v>
      </c>
      <c r="E5" s="13" t="s">
        <v>20</v>
      </c>
      <c r="F5" s="73">
        <f>COUNTIF('Raw Data'!J:J,E5)</f>
        <v>76</v>
      </c>
      <c r="G5" s="74">
        <f>SUMIF('Raw Data'!J:J,E5,'Raw Data'!N:N)</f>
        <v>57427.790000000023</v>
      </c>
    </row>
    <row r="6" spans="1:16" ht="15" customHeight="1" x14ac:dyDescent="0.3">
      <c r="A6" s="13" t="s">
        <v>53</v>
      </c>
      <c r="B6" s="71">
        <f>SUMIF('Raw Data'!G:G,"Furniture",'Raw Data'!N:N)</f>
        <v>49097.680000000015</v>
      </c>
      <c r="C6" s="72">
        <f>COUNTIF('Raw Data'!G:G,"Furniture")</f>
        <v>76</v>
      </c>
      <c r="E6" s="13" t="s">
        <v>28</v>
      </c>
      <c r="F6" s="73">
        <f>COUNTIF('Raw Data'!J:J,E6)</f>
        <v>68</v>
      </c>
      <c r="G6" s="74">
        <f>SUMIF('Raw Data'!J:J,E6,'Raw Data'!N:N)</f>
        <v>61447.960000000014</v>
      </c>
    </row>
    <row r="7" spans="1:16" ht="15" customHeight="1" x14ac:dyDescent="0.3">
      <c r="A7" s="66" t="s">
        <v>37</v>
      </c>
      <c r="B7" s="75">
        <f>SUMIF('Raw Data'!G:G,"Appliances",'Raw Data'!N:N)</f>
        <v>8338.7399999999961</v>
      </c>
      <c r="C7" s="31">
        <f>COUNTIF('Raw Data'!G:G,"Appliances")</f>
        <v>43</v>
      </c>
      <c r="E7" s="13" t="s">
        <v>68</v>
      </c>
      <c r="F7" s="73">
        <f>COUNTIF('Raw Data'!J:J,E7)</f>
        <v>54</v>
      </c>
      <c r="G7" s="74">
        <f>SUMIF('Raw Data'!J:J,E7,'Raw Data'!N:N)</f>
        <v>52118.310000000005</v>
      </c>
    </row>
    <row r="8" spans="1:16" ht="15" customHeight="1" x14ac:dyDescent="0.3">
      <c r="E8" s="66" t="s">
        <v>38</v>
      </c>
      <c r="F8" s="69">
        <f>COUNTIF('Raw Data'!J:J,E8)</f>
        <v>52</v>
      </c>
      <c r="G8" s="76">
        <f>SUMIF('Raw Data'!J:J,E8,'Raw Data'!N:N)</f>
        <v>58198.409999999996</v>
      </c>
    </row>
    <row r="9" spans="1:16" ht="15" customHeight="1" x14ac:dyDescent="0.3">
      <c r="A9" s="106" t="s">
        <v>855</v>
      </c>
      <c r="B9" s="106"/>
      <c r="C9" s="106"/>
      <c r="D9" s="106"/>
    </row>
    <row r="10" spans="1:16" ht="15" customHeight="1" x14ac:dyDescent="0.3">
      <c r="A10" s="7" t="s">
        <v>10</v>
      </c>
      <c r="B10" s="9" t="s">
        <v>802</v>
      </c>
    </row>
    <row r="11" spans="1:16" ht="15" customHeight="1" x14ac:dyDescent="0.3">
      <c r="A11" s="13" t="s">
        <v>46</v>
      </c>
      <c r="B11" s="74">
        <f>SUMIF('Raw Data'!K:K,A11,'Raw Data'!N:N)</f>
        <v>50808.310000000012</v>
      </c>
    </row>
    <row r="12" spans="1:16" ht="15" customHeight="1" x14ac:dyDescent="0.3">
      <c r="A12" s="13" t="s">
        <v>39</v>
      </c>
      <c r="B12" s="74">
        <f>SUMIF('Raw Data'!K:K,A12,'Raw Data'!N:N)</f>
        <v>36398.750000000007</v>
      </c>
    </row>
    <row r="13" spans="1:16" ht="15" customHeight="1" x14ac:dyDescent="0.3">
      <c r="A13" s="13" t="s">
        <v>76</v>
      </c>
      <c r="B13" s="74">
        <f>SUMIF('Raw Data'!K:K,A13,'Raw Data'!N:N)</f>
        <v>59288.389999999992</v>
      </c>
    </row>
    <row r="14" spans="1:16" ht="15" customHeight="1" x14ac:dyDescent="0.3">
      <c r="A14" s="13" t="s">
        <v>59</v>
      </c>
      <c r="B14" s="74">
        <f>SUMIF('Raw Data'!K:K,A14,'Raw Data'!N:N)</f>
        <v>41408.680000000015</v>
      </c>
    </row>
    <row r="15" spans="1:16" ht="15" customHeight="1" x14ac:dyDescent="0.3">
      <c r="A15" s="66" t="s">
        <v>21</v>
      </c>
      <c r="B15" s="76">
        <f>SUMIF('Raw Data'!K:K,A15,'Raw Data'!N:N)</f>
        <v>41288.340000000018</v>
      </c>
    </row>
    <row r="17" spans="1:3" ht="15" customHeight="1" x14ac:dyDescent="0.3">
      <c r="A17" s="107" t="s">
        <v>856</v>
      </c>
      <c r="B17" s="107"/>
      <c r="C17" s="107"/>
    </row>
    <row r="18" spans="1:3" ht="15" customHeight="1" x14ac:dyDescent="0.3">
      <c r="A18" s="7" t="s">
        <v>815</v>
      </c>
      <c r="B18" s="8" t="s">
        <v>802</v>
      </c>
      <c r="C18" s="9" t="s">
        <v>817</v>
      </c>
    </row>
    <row r="19" spans="1:3" ht="15" customHeight="1" x14ac:dyDescent="0.3">
      <c r="A19" s="10" t="s">
        <v>857</v>
      </c>
      <c r="B19" s="71">
        <f>SUMPRODUCT((MONTH('Raw Data'!B$2:B$251)=4)*(YEAR('Raw Data'!B$2:B$251)=2024)*('Raw Data'!N$2:N$251))</f>
        <v>20919.330000000002</v>
      </c>
      <c r="C19" s="72">
        <f>SUMPRODUCT((MONTH('Raw Data'!B$2:B$251)=4)*(YEAR('Raw Data'!B$2:B$251)=2024)*1)</f>
        <v>21</v>
      </c>
    </row>
    <row r="20" spans="1:3" ht="15" customHeight="1" x14ac:dyDescent="0.3">
      <c r="A20" s="10" t="s">
        <v>858</v>
      </c>
      <c r="B20" s="71">
        <f>SUMPRODUCT((MONTH('Raw Data'!B$2:B$251)=5)*(YEAR('Raw Data'!B$2:B$251)=2024)*('Raw Data'!N$2:N$251))</f>
        <v>17039.349999999999</v>
      </c>
      <c r="C20" s="72">
        <f>SUMPRODUCT((MONTH('Raw Data'!B$2:B$251)=5)*(YEAR('Raw Data'!B$2:B$251)=2024)*1)</f>
        <v>19</v>
      </c>
    </row>
    <row r="21" spans="1:3" ht="15" customHeight="1" x14ac:dyDescent="0.3">
      <c r="A21" s="10" t="s">
        <v>859</v>
      </c>
      <c r="B21" s="71">
        <f>SUMPRODUCT((MONTH('Raw Data'!B$2:B$251)=6)*(YEAR('Raw Data'!B$2:B$251)=2024)*('Raw Data'!N$2:N$251))</f>
        <v>19299.45</v>
      </c>
      <c r="C21" s="72">
        <f>SUMPRODUCT((MONTH('Raw Data'!B$2:B$251)=6)*(YEAR('Raw Data'!B$2:B$251)=2024)*1)</f>
        <v>19</v>
      </c>
    </row>
    <row r="22" spans="1:3" ht="15" customHeight="1" x14ac:dyDescent="0.3">
      <c r="A22" s="10" t="s">
        <v>860</v>
      </c>
      <c r="B22" s="71">
        <f>SUMPRODUCT((MONTH('Raw Data'!B$2:B$251)=7)*(YEAR('Raw Data'!B$2:B$251)=2024)*('Raw Data'!N$2:N$251))</f>
        <v>18479.399999999994</v>
      </c>
      <c r="C22" s="72">
        <f>SUMPRODUCT((MONTH('Raw Data'!B$2:B$251)=7)*(YEAR('Raw Data'!B$2:B$251)=2024)*1)</f>
        <v>24</v>
      </c>
    </row>
    <row r="23" spans="1:3" ht="15" customHeight="1" x14ac:dyDescent="0.3">
      <c r="A23" s="10" t="s">
        <v>861</v>
      </c>
      <c r="B23" s="71">
        <f>SUMPRODUCT((MONTH('Raw Data'!B$2:B$251)=8)*(YEAR('Raw Data'!B$2:B$251)=2024)*('Raw Data'!N$2:N$251))</f>
        <v>15759.429999999997</v>
      </c>
      <c r="C23" s="72">
        <f>SUMPRODUCT((MONTH('Raw Data'!B$2:B$251)=8)*(YEAR('Raw Data'!B$2:B$251)=2024)*1)</f>
        <v>18</v>
      </c>
    </row>
    <row r="24" spans="1:3" ht="15" customHeight="1" x14ac:dyDescent="0.3">
      <c r="A24" s="10" t="s">
        <v>862</v>
      </c>
      <c r="B24" s="71">
        <f>SUMPRODUCT((MONTH('Raw Data'!B$2:B$251)=9)*(YEAR('Raw Data'!B$2:B$251)=2024)*('Raw Data'!N$2:N$251))</f>
        <v>12989.509999999997</v>
      </c>
      <c r="C24" s="72">
        <f>SUMPRODUCT((MONTH('Raw Data'!B$2:B$251)=9)*(YEAR('Raw Data'!B$2:B$251)=2024)*1)</f>
        <v>19</v>
      </c>
    </row>
    <row r="25" spans="1:3" ht="15" customHeight="1" x14ac:dyDescent="0.3">
      <c r="A25" s="10" t="s">
        <v>863</v>
      </c>
      <c r="B25" s="71">
        <f>SUMPRODUCT((MONTH('Raw Data'!B$2:B$251)=10)*(YEAR('Raw Data'!B$2:B$251)=2024)*('Raw Data'!N$2:N$251))</f>
        <v>20609.52</v>
      </c>
      <c r="C25" s="72">
        <f>SUMPRODUCT((MONTH('Raw Data'!B$2:B$251)=10)*(YEAR('Raw Data'!B$2:B$251)=2024)*1)</f>
        <v>16</v>
      </c>
    </row>
    <row r="26" spans="1:3" ht="15" customHeight="1" x14ac:dyDescent="0.3">
      <c r="A26" s="10" t="s">
        <v>864</v>
      </c>
      <c r="B26" s="71">
        <f>SUMPRODUCT((MONTH('Raw Data'!B$2:B$251)=11)*(YEAR('Raw Data'!B$2:B$251)=2024)*('Raw Data'!N$2:N$251))</f>
        <v>12309.439999999999</v>
      </c>
      <c r="C26" s="72">
        <f>SUMPRODUCT((MONTH('Raw Data'!B$2:B$251)=11)*(YEAR('Raw Data'!B$2:B$251)=2024)*1)</f>
        <v>17</v>
      </c>
    </row>
    <row r="27" spans="1:3" ht="15" customHeight="1" x14ac:dyDescent="0.3">
      <c r="A27" s="10" t="s">
        <v>865</v>
      </c>
      <c r="B27" s="71">
        <f>SUMPRODUCT((MONTH('Raw Data'!B$2:B$251)=12)*(YEAR('Raw Data'!B$2:B$251)=2024)*('Raw Data'!N$2:N$251))</f>
        <v>23039.3</v>
      </c>
      <c r="C27" s="72">
        <f>SUMPRODUCT((MONTH('Raw Data'!B$2:B$251)=12)*(YEAR('Raw Data'!B$2:B$251)=2024)*1)</f>
        <v>25</v>
      </c>
    </row>
    <row r="28" spans="1:3" ht="15" customHeight="1" x14ac:dyDescent="0.3">
      <c r="A28" s="10" t="s">
        <v>866</v>
      </c>
      <c r="B28" s="71">
        <f>SUMPRODUCT((MONTH('Raw Data'!B$2:B$251)=1)*(YEAR('Raw Data'!B$2:B$251)=2025)*('Raw Data'!N$2:N$251))</f>
        <v>25799.15</v>
      </c>
      <c r="C28" s="72">
        <f>SUMPRODUCT((MONTH('Raw Data'!B$2:B$251)=1)*(YEAR('Raw Data'!B$2:B$251)=2025)*1)</f>
        <v>26</v>
      </c>
    </row>
    <row r="29" spans="1:3" ht="15" customHeight="1" x14ac:dyDescent="0.3">
      <c r="A29" s="10" t="s">
        <v>867</v>
      </c>
      <c r="B29" s="71">
        <f>SUMPRODUCT((MONTH('Raw Data'!B$2:B$251)=2)*(YEAR('Raw Data'!B$2:B$251)=2025)*('Raw Data'!N$2:N$251))</f>
        <v>16069.379999999997</v>
      </c>
      <c r="C29" s="72">
        <f>SUMPRODUCT((MONTH('Raw Data'!B$2:B$251)=2)*(YEAR('Raw Data'!B$2:B$251)=2025)*1)</f>
        <v>20</v>
      </c>
    </row>
    <row r="30" spans="1:3" ht="15" customHeight="1" x14ac:dyDescent="0.3">
      <c r="A30" s="10" t="s">
        <v>868</v>
      </c>
      <c r="B30" s="71">
        <f>SUMPRODUCT((MONTH('Raw Data'!B$2:B$251)=3)*(YEAR('Raw Data'!B$2:B$251)=2025)*('Raw Data'!N$2:N$251))</f>
        <v>19899.379999999997</v>
      </c>
      <c r="C30" s="72">
        <f>SUMPRODUCT((MONTH('Raw Data'!B$2:B$251)=3)*(YEAR('Raw Data'!B$2:B$251)=2025)*1)</f>
        <v>19</v>
      </c>
    </row>
    <row r="31" spans="1:3" ht="15" customHeight="1" x14ac:dyDescent="0.3">
      <c r="A31" s="37" t="s">
        <v>869</v>
      </c>
      <c r="B31" s="75">
        <f>SUMPRODUCT((MONTH('Raw Data'!B$2:B$251)=4)*(YEAR('Raw Data'!B$2:B$251)=2025)*('Raw Data'!N$2:N$251))</f>
        <v>6979.829999999999</v>
      </c>
      <c r="C31" s="31">
        <f>SUMPRODUCT((MONTH('Raw Data'!B$2:B$251)=4)*(YEAR('Raw Data'!B$2:B$251)=2025)*1)</f>
        <v>7</v>
      </c>
    </row>
  </sheetData>
  <mergeCells count="5">
    <mergeCell ref="A1:P1"/>
    <mergeCell ref="A3:D3"/>
    <mergeCell ref="E3:G3"/>
    <mergeCell ref="A9:D9"/>
    <mergeCell ref="A17:C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P33"/>
  <sheetViews>
    <sheetView showGridLines="0" tabSelected="1" topLeftCell="B6" zoomScaleNormal="100" workbookViewId="0">
      <selection activeCell="M15" sqref="M15"/>
    </sheetView>
  </sheetViews>
  <sheetFormatPr defaultColWidth="8.6640625" defaultRowHeight="14.4" x14ac:dyDescent="0.3"/>
  <cols>
    <col min="1" max="16" width="14" customWidth="1"/>
  </cols>
  <sheetData>
    <row r="1" spans="1:16" ht="36" customHeight="1" x14ac:dyDescent="0.3">
      <c r="A1" s="133" t="s">
        <v>870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ht="36" customHeight="1" x14ac:dyDescent="0.3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</row>
    <row r="3" spans="1:16" ht="15" customHeight="1" x14ac:dyDescent="0.3">
      <c r="A3" s="134" t="s">
        <v>871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</row>
    <row r="5" spans="1:16" ht="18" customHeight="1" x14ac:dyDescent="0.3">
      <c r="A5" s="135" t="s">
        <v>872</v>
      </c>
      <c r="B5" s="135"/>
      <c r="C5" s="135"/>
      <c r="D5" s="135"/>
      <c r="E5" s="136" t="s">
        <v>873</v>
      </c>
      <c r="F5" s="136"/>
      <c r="G5" s="136"/>
      <c r="H5" s="136"/>
      <c r="I5" s="137" t="s">
        <v>874</v>
      </c>
      <c r="J5" s="137"/>
      <c r="K5" s="137"/>
      <c r="L5" s="137"/>
      <c r="M5" s="138" t="s">
        <v>875</v>
      </c>
      <c r="N5" s="138"/>
      <c r="O5" s="138"/>
      <c r="P5" s="138"/>
    </row>
    <row r="6" spans="1:16" ht="24.75" customHeight="1" x14ac:dyDescent="0.3">
      <c r="A6" s="125" t="str">
        <f>TEXT(SUM('Raw Data'!N:N),"$#,##0.00")</f>
        <v>$2,29,192.47</v>
      </c>
      <c r="B6" s="125"/>
      <c r="C6" s="125"/>
      <c r="D6" s="125"/>
      <c r="E6" s="126" t="str">
        <f>TEXT(COUNTA('Raw Data'!A2:A251),"0")</f>
        <v>249</v>
      </c>
      <c r="F6" s="126"/>
      <c r="G6" s="126"/>
      <c r="H6" s="126"/>
      <c r="I6" s="127" t="str" cm="1">
        <f t="array" ref="I6">TEXT(SUMPRODUCT(1/COUNTIF('Raw Data'!C2:C251,'Raw Data'!C2:C251)),"0")</f>
        <v>50</v>
      </c>
      <c r="J6" s="127"/>
      <c r="K6" s="127"/>
      <c r="L6" s="127"/>
      <c r="M6" s="128" t="str">
        <f>TEXT(IFERROR(SUM('Raw Data'!N:N)/COUNTA('Raw Data'!A2:A251),0),"$#,##0.00")</f>
        <v>$920.45</v>
      </c>
      <c r="N6" s="128"/>
      <c r="O6" s="128"/>
      <c r="P6" s="128"/>
    </row>
    <row r="7" spans="1:16" ht="24.75" customHeight="1" x14ac:dyDescent="0.3">
      <c r="A7" s="125"/>
      <c r="B7" s="125"/>
      <c r="C7" s="125"/>
      <c r="D7" s="125"/>
      <c r="E7" s="126"/>
      <c r="F7" s="126"/>
      <c r="G7" s="126"/>
      <c r="H7" s="126"/>
      <c r="I7" s="127"/>
      <c r="J7" s="127"/>
      <c r="K7" s="127"/>
      <c r="L7" s="127"/>
      <c r="M7" s="128"/>
      <c r="N7" s="128"/>
      <c r="O7" s="128"/>
      <c r="P7" s="128"/>
    </row>
    <row r="8" spans="1:16" ht="24.75" customHeight="1" x14ac:dyDescent="0.3">
      <c r="A8" s="125"/>
      <c r="B8" s="125"/>
      <c r="C8" s="125"/>
      <c r="D8" s="125"/>
      <c r="E8" s="126"/>
      <c r="F8" s="126"/>
      <c r="G8" s="126"/>
      <c r="H8" s="126"/>
      <c r="I8" s="127"/>
      <c r="J8" s="127"/>
      <c r="K8" s="127"/>
      <c r="L8" s="127"/>
      <c r="M8" s="128"/>
      <c r="N8" s="128"/>
      <c r="O8" s="128"/>
      <c r="P8" s="128"/>
    </row>
    <row r="9" spans="1:16" ht="18" customHeight="1" x14ac:dyDescent="0.3">
      <c r="A9" s="125"/>
      <c r="B9" s="125"/>
      <c r="C9" s="125"/>
      <c r="D9" s="125"/>
      <c r="E9" s="126"/>
      <c r="F9" s="126"/>
      <c r="G9" s="126"/>
      <c r="H9" s="126"/>
      <c r="I9" s="127"/>
      <c r="J9" s="127"/>
      <c r="K9" s="127"/>
      <c r="L9" s="127"/>
      <c r="M9" s="128"/>
      <c r="N9" s="128"/>
      <c r="O9" s="128"/>
      <c r="P9" s="128"/>
    </row>
    <row r="11" spans="1:16" ht="18" customHeight="1" x14ac:dyDescent="0.3">
      <c r="A11" s="129" t="s">
        <v>876</v>
      </c>
      <c r="B11" s="129"/>
      <c r="C11" s="129"/>
      <c r="D11" s="129"/>
      <c r="E11" s="130" t="s">
        <v>877</v>
      </c>
      <c r="F11" s="130"/>
      <c r="G11" s="130"/>
      <c r="H11" s="130"/>
      <c r="I11" s="131" t="s">
        <v>878</v>
      </c>
      <c r="J11" s="131"/>
      <c r="K11" s="131"/>
      <c r="L11" s="131"/>
      <c r="M11" s="132" t="s">
        <v>879</v>
      </c>
      <c r="N11" s="132"/>
      <c r="O11" s="132"/>
      <c r="P11" s="132"/>
    </row>
    <row r="12" spans="1:16" ht="21.75" customHeight="1" x14ac:dyDescent="0.3">
      <c r="A12" s="120" t="str">
        <f>TEXT(SUMIF('Raw Data'!L:L,"Premium",'Raw Data'!N:N),"$#,##0.00")</f>
        <v>$84,657.12</v>
      </c>
      <c r="B12" s="120"/>
      <c r="C12" s="120"/>
      <c r="D12" s="120"/>
      <c r="E12" s="121" t="str">
        <f>TEXT(SUMIF('Raw Data'!L:L,"Standard",'Raw Data'!N:N),"$#,##0.00")</f>
        <v>$82,357.54</v>
      </c>
      <c r="F12" s="121"/>
      <c r="G12" s="121"/>
      <c r="H12" s="121"/>
      <c r="I12" s="122" t="str">
        <f>TEXT(SUMIF('Raw Data'!L:L,"Basic",'Raw Data'!N:N),"$#,##0.00")</f>
        <v>$62,177.81</v>
      </c>
      <c r="J12" s="122"/>
      <c r="K12" s="122"/>
      <c r="L12" s="122"/>
      <c r="M12" s="123" t="e">
        <f ca="1">INDEX('Raw Data'!F:F,MATCH(MAX(I12COUNTIF('Raw Data'!F2:F251,'Raw Data'!F2:F251)),COUNTIF('Raw Data'!F2:F251,'Raw Data'!F2:F251),0)+1)</f>
        <v>#NAME?</v>
      </c>
      <c r="N12" s="123"/>
      <c r="O12" s="123"/>
      <c r="P12" s="123"/>
    </row>
    <row r="13" spans="1:16" ht="21.75" customHeight="1" x14ac:dyDescent="0.3">
      <c r="A13" s="120"/>
      <c r="B13" s="120"/>
      <c r="C13" s="120"/>
      <c r="D13" s="120"/>
      <c r="E13" s="121"/>
      <c r="F13" s="121"/>
      <c r="G13" s="121"/>
      <c r="H13" s="121"/>
      <c r="I13" s="122"/>
      <c r="J13" s="122"/>
      <c r="K13" s="122"/>
      <c r="L13" s="122"/>
      <c r="M13" s="123"/>
      <c r="N13" s="123"/>
      <c r="O13" s="123"/>
      <c r="P13" s="123"/>
    </row>
    <row r="14" spans="1:16" ht="21.75" customHeight="1" x14ac:dyDescent="0.3">
      <c r="A14" s="120"/>
      <c r="B14" s="120"/>
      <c r="C14" s="120"/>
      <c r="D14" s="120"/>
      <c r="E14" s="121"/>
      <c r="F14" s="121"/>
      <c r="G14" s="121"/>
      <c r="H14" s="121"/>
      <c r="I14" s="122"/>
      <c r="J14" s="122"/>
      <c r="K14" s="122"/>
      <c r="L14" s="122"/>
      <c r="M14" s="123"/>
      <c r="N14" s="123"/>
      <c r="O14" s="123"/>
      <c r="P14" s="123"/>
    </row>
    <row r="16" spans="1:16" ht="7.5" customHeight="1" x14ac:dyDescent="0.3"/>
    <row r="17" spans="1:16" ht="15" customHeight="1" x14ac:dyDescent="0.3">
      <c r="A17" s="124" t="s">
        <v>880</v>
      </c>
      <c r="B17" s="124"/>
      <c r="C17" s="124"/>
      <c r="D17" s="124"/>
      <c r="E17" s="124" t="s">
        <v>881</v>
      </c>
      <c r="F17" s="124"/>
      <c r="G17" s="124"/>
      <c r="H17" s="124"/>
      <c r="I17" s="124" t="s">
        <v>882</v>
      </c>
      <c r="J17" s="124"/>
      <c r="K17" s="124"/>
      <c r="L17" s="124"/>
      <c r="M17" s="124" t="s">
        <v>883</v>
      </c>
      <c r="N17" s="124"/>
      <c r="O17" s="124"/>
      <c r="P17" s="124"/>
    </row>
    <row r="18" spans="1:16" ht="15" customHeight="1" x14ac:dyDescent="0.3">
      <c r="A18" s="77" t="s">
        <v>836</v>
      </c>
      <c r="B18" s="78" t="s">
        <v>802</v>
      </c>
      <c r="C18" s="78" t="s">
        <v>817</v>
      </c>
      <c r="D18" s="79" t="s">
        <v>884</v>
      </c>
      <c r="E18" s="77" t="s">
        <v>885</v>
      </c>
      <c r="F18" s="78" t="s">
        <v>886</v>
      </c>
      <c r="G18" s="78" t="s">
        <v>817</v>
      </c>
      <c r="H18" s="79" t="s">
        <v>812</v>
      </c>
      <c r="I18" s="77" t="s">
        <v>10</v>
      </c>
      <c r="J18" s="78" t="s">
        <v>802</v>
      </c>
      <c r="K18" s="78" t="s">
        <v>817</v>
      </c>
      <c r="L18" s="79" t="s">
        <v>804</v>
      </c>
      <c r="M18" s="77" t="s">
        <v>812</v>
      </c>
      <c r="N18" s="78" t="s">
        <v>802</v>
      </c>
      <c r="O18" s="78" t="s">
        <v>817</v>
      </c>
      <c r="P18" s="79" t="s">
        <v>887</v>
      </c>
    </row>
    <row r="19" spans="1:16" ht="15" customHeight="1" x14ac:dyDescent="0.3">
      <c r="A19" s="80" t="s">
        <v>75</v>
      </c>
      <c r="B19" s="81">
        <f>SUMIF('Raw Data'!F:F,A19,'Raw Data'!N:N)</f>
        <v>67499.25</v>
      </c>
      <c r="C19" s="82">
        <f>COUNTIF('Raw Data'!F:F,A19)</f>
        <v>24</v>
      </c>
      <c r="D19" s="83">
        <f>IFERROR(B19/C19,0)</f>
        <v>2812.46875</v>
      </c>
      <c r="E19" s="80" t="s">
        <v>111</v>
      </c>
      <c r="F19" s="81">
        <f>SUMIF('Raw Data'!C:C,"CUST025",'Raw Data'!N:N)</f>
        <v>15659.65</v>
      </c>
      <c r="G19" s="82">
        <f>COUNTIF('Raw Data'!C:C,"CUST025")</f>
        <v>12</v>
      </c>
      <c r="H19" s="84" t="str">
        <f>IFERROR(INDEX('Raw Data'!L:L,MATCH("CUST025",'Raw Data'!C:C,0)),"")</f>
        <v>Premium</v>
      </c>
      <c r="I19" s="80" t="s">
        <v>46</v>
      </c>
      <c r="J19" s="81">
        <f>SUMIF('Raw Data'!K:K,I19,'Raw Data'!N:N)</f>
        <v>50808.310000000012</v>
      </c>
      <c r="K19" s="82">
        <f>COUNTIF('Raw Data'!K:K,I19)</f>
        <v>59</v>
      </c>
      <c r="L19" s="83">
        <f>IFERROR(J19/K19,0)</f>
        <v>861.15779661016973</v>
      </c>
      <c r="M19" s="80" t="s">
        <v>29</v>
      </c>
      <c r="N19" s="81">
        <f>SUMIF('Raw Data'!L:L,M19,'Raw Data'!N:N)</f>
        <v>84657.12000000001</v>
      </c>
      <c r="O19" s="82">
        <f>COUNTIF('Raw Data'!L:L,M19)</f>
        <v>95</v>
      </c>
      <c r="P19" s="85">
        <f>IFERROR(N19/SUM(N19:N21),0)</f>
        <v>0.36937129740780744</v>
      </c>
    </row>
    <row r="20" spans="1:16" ht="15" customHeight="1" x14ac:dyDescent="0.3">
      <c r="A20" s="86" t="s">
        <v>102</v>
      </c>
      <c r="B20" s="87">
        <f>SUMIF('Raw Data'!F:F,A20,'Raw Data'!N:N)</f>
        <v>67199.039999999994</v>
      </c>
      <c r="C20" s="88">
        <f>COUNTIF('Raw Data'!F:F,A20)</f>
        <v>31</v>
      </c>
      <c r="D20" s="89">
        <f>IFERROR(B20/C20,0)</f>
        <v>2167.7109677419353</v>
      </c>
      <c r="E20" s="86" t="s">
        <v>131</v>
      </c>
      <c r="F20" s="87">
        <f>SUMIF('Raw Data'!C:C,"CUST012",'Raw Data'!N:N)</f>
        <v>9799.73</v>
      </c>
      <c r="G20" s="88">
        <f>COUNTIF('Raw Data'!C:C,"CUST012")</f>
        <v>8</v>
      </c>
      <c r="H20" s="90" t="str">
        <f>IFERROR(INDEX('Raw Data'!L:L,MATCH("CUST012",'Raw Data'!C:C,0)),"")</f>
        <v>Standard</v>
      </c>
      <c r="I20" s="86" t="s">
        <v>39</v>
      </c>
      <c r="J20" s="87">
        <f>SUMIF('Raw Data'!K:K,I20,'Raw Data'!N:N)</f>
        <v>36398.750000000007</v>
      </c>
      <c r="K20" s="88">
        <f>COUNTIF('Raw Data'!K:K,I20)</f>
        <v>42</v>
      </c>
      <c r="L20" s="89">
        <f>IFERROR(J20/K20,0)</f>
        <v>866.63690476190493</v>
      </c>
      <c r="M20" s="86" t="s">
        <v>40</v>
      </c>
      <c r="N20" s="87">
        <f>SUMIF('Raw Data'!L:L,M20,'Raw Data'!N:N)</f>
        <v>82357.540000000037</v>
      </c>
      <c r="O20" s="88">
        <f>COUNTIF('Raw Data'!L:L,M20)</f>
        <v>81</v>
      </c>
      <c r="P20" s="91">
        <f>IFERROR(N20/SUM(N19:N21),0)</f>
        <v>0.35933789622320494</v>
      </c>
    </row>
    <row r="21" spans="1:16" ht="15" customHeight="1" x14ac:dyDescent="0.3">
      <c r="A21" s="80" t="s">
        <v>18</v>
      </c>
      <c r="B21" s="81">
        <f>SUMIF('Raw Data'!F:F,A21,'Raw Data'!N:N)</f>
        <v>21999.119999999999</v>
      </c>
      <c r="C21" s="82">
        <f>COUNTIF('Raw Data'!F:F,A21)</f>
        <v>26</v>
      </c>
      <c r="D21" s="83">
        <f>IFERROR(B21/C21,0)</f>
        <v>846.12</v>
      </c>
      <c r="E21" s="80" t="s">
        <v>27</v>
      </c>
      <c r="F21" s="81">
        <f>SUMIF('Raw Data'!C:C,"CUST013",'Raw Data'!N:N)</f>
        <v>6949.84</v>
      </c>
      <c r="G21" s="82">
        <f>COUNTIF('Raw Data'!C:C,"CUST013")</f>
        <v>5</v>
      </c>
      <c r="H21" s="84" t="str">
        <f>IFERROR(INDEX('Raw Data'!L:L,MATCH("CUST013",'Raw Data'!C:C,0)),"")</f>
        <v>Premium</v>
      </c>
      <c r="I21" s="80" t="s">
        <v>76</v>
      </c>
      <c r="J21" s="81">
        <f>SUMIF('Raw Data'!K:K,I21,'Raw Data'!N:N)</f>
        <v>59288.389999999992</v>
      </c>
      <c r="K21" s="82">
        <f>COUNTIF('Raw Data'!K:K,I21)</f>
        <v>48</v>
      </c>
      <c r="L21" s="83">
        <f>IFERROR(J21/K21,0)</f>
        <v>1235.1747916666666</v>
      </c>
      <c r="M21" s="92" t="s">
        <v>22</v>
      </c>
      <c r="N21" s="93">
        <f>SUMIF('Raw Data'!L:L,M21,'Raw Data'!N:N)</f>
        <v>62177.810000000019</v>
      </c>
      <c r="O21" s="94">
        <f>COUNTIF('Raw Data'!L:L,M21)</f>
        <v>74</v>
      </c>
      <c r="P21" s="95">
        <f>IFERROR(N21/SUM(N19:N21),0)</f>
        <v>0.27129080636898761</v>
      </c>
    </row>
    <row r="22" spans="1:16" ht="15" customHeight="1" x14ac:dyDescent="0.3">
      <c r="A22" s="86" t="s">
        <v>141</v>
      </c>
      <c r="B22" s="87">
        <f>SUMIF('Raw Data'!F:F,A22,'Raw Data'!N:N)</f>
        <v>23399.22</v>
      </c>
      <c r="C22" s="88">
        <f>COUNTIF('Raw Data'!F:F,A22)</f>
        <v>26</v>
      </c>
      <c r="D22" s="89">
        <f>IFERROR(B22/C22,0)</f>
        <v>899.97</v>
      </c>
      <c r="E22" s="86" t="s">
        <v>81</v>
      </c>
      <c r="F22" s="87">
        <f>SUMIF('Raw Data'!C:C,"CUST026",'Raw Data'!N:N)</f>
        <v>8009.7699999999995</v>
      </c>
      <c r="G22" s="88">
        <f>COUNTIF('Raw Data'!C:C,"CUST026")</f>
        <v>8</v>
      </c>
      <c r="H22" s="90" t="str">
        <f>IFERROR(INDEX('Raw Data'!L:L,MATCH("CUST026",'Raw Data'!C:C,0)),"")</f>
        <v>Premium</v>
      </c>
      <c r="I22" s="86" t="s">
        <v>59</v>
      </c>
      <c r="J22" s="87">
        <f>SUMIF('Raw Data'!K:K,I22,'Raw Data'!N:N)</f>
        <v>41408.680000000015</v>
      </c>
      <c r="K22" s="88">
        <f>COUNTIF('Raw Data'!K:K,I22)</f>
        <v>47</v>
      </c>
      <c r="L22" s="89">
        <f>IFERROR(J22/K22,0)</f>
        <v>881.03574468085139</v>
      </c>
    </row>
    <row r="23" spans="1:16" ht="15" customHeight="1" x14ac:dyDescent="0.3">
      <c r="A23" s="92" t="s">
        <v>52</v>
      </c>
      <c r="B23" s="93">
        <f>SUMIF('Raw Data'!F:F,A23,'Raw Data'!N:N)</f>
        <v>15298.979999999994</v>
      </c>
      <c r="C23" s="94">
        <f>COUNTIF('Raw Data'!F:F,A23)</f>
        <v>35</v>
      </c>
      <c r="D23" s="96">
        <f>IFERROR(B23/C23,0)</f>
        <v>437.11371428571414</v>
      </c>
      <c r="E23" s="92" t="s">
        <v>164</v>
      </c>
      <c r="F23" s="93">
        <f>SUMIF('Raw Data'!C:C,"CUST030",'Raw Data'!N:N)</f>
        <v>6459.79</v>
      </c>
      <c r="G23" s="94">
        <f>COUNTIF('Raw Data'!C:C,"CUST030")</f>
        <v>7</v>
      </c>
      <c r="H23" s="97" t="str">
        <f>IFERROR(INDEX('Raw Data'!L:L,MATCH("CUST030",'Raw Data'!C:C,0)),"")</f>
        <v>Standard</v>
      </c>
      <c r="I23" s="92" t="s">
        <v>21</v>
      </c>
      <c r="J23" s="93">
        <f>SUMIF('Raw Data'!K:K,I23,'Raw Data'!N:N)</f>
        <v>41288.340000000018</v>
      </c>
      <c r="K23" s="94">
        <f>COUNTIF('Raw Data'!K:K,I23)</f>
        <v>54</v>
      </c>
      <c r="L23" s="96">
        <f>IFERROR(J23/K23,0)</f>
        <v>764.59888888888918</v>
      </c>
    </row>
    <row r="25" spans="1:16" ht="7.5" customHeight="1" x14ac:dyDescent="0.3"/>
    <row r="26" spans="1:16" ht="21.75" customHeight="1" x14ac:dyDescent="0.3">
      <c r="A26" s="115" t="s">
        <v>888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</row>
    <row r="27" spans="1:16" ht="15" customHeight="1" x14ac:dyDescent="0.3">
      <c r="A27" s="116" t="s">
        <v>889</v>
      </c>
      <c r="B27" s="116"/>
      <c r="C27" s="116"/>
      <c r="D27" s="116"/>
      <c r="E27" s="117" t="s">
        <v>890</v>
      </c>
      <c r="F27" s="117"/>
      <c r="G27" s="117"/>
      <c r="H27" s="117"/>
      <c r="I27" s="118" t="s">
        <v>891</v>
      </c>
      <c r="J27" s="118"/>
      <c r="K27" s="118"/>
      <c r="L27" s="118"/>
      <c r="M27" s="119" t="s">
        <v>892</v>
      </c>
      <c r="N27" s="119"/>
      <c r="O27" s="119"/>
      <c r="P27" s="119"/>
    </row>
    <row r="28" spans="1:16" ht="19.5" customHeight="1" x14ac:dyDescent="0.3">
      <c r="A28" s="110" t="str">
        <f>INDEX({"Electronics","Furniture","Appliances"},MATCH(MAX(SUMIF('Raw Data'!G:G,{"Electronics","Furniture","Appliances"},'Raw Data'!N:N)),SUMIF('Raw Data'!G:G,{"Electronics","Furniture","Appliances"},'Raw Data'!N:N),0)) &amp; " leads with $" &amp; TEXT(MAX(SUMIF('Raw Data'!G:G,{"Electronics","Furniture","Appliances"},'Raw Data'!N:N)),"#,##0")</f>
        <v>Electronics leads with $1,71,756</v>
      </c>
      <c r="B28" s="110"/>
      <c r="C28" s="110"/>
      <c r="D28" s="110"/>
      <c r="E28" s="111" t="str">
        <f>INDEX({"North","South","East","West","Central"},MATCH(MAX(SUMIF('Raw Data'!K:K,{"North","South","East","West","Central"},'Raw Data'!N:N)),SUMIF('Raw Data'!K:K,{"North","South","East","West","Central"},'Raw Data'!N:N),0)) &amp; " region tops regional performance"</f>
        <v>East region tops regional performance</v>
      </c>
      <c r="F28" s="111"/>
      <c r="G28" s="111"/>
      <c r="H28" s="111"/>
      <c r="I28" s="112" t="str">
        <f>INDEX({"Cash","Credit Card","Debit Card","PayPal"},MATCH(MAX(COUNTIF('Raw Data'!J:J,{"Cash","Credit Card","Debit Card","PayPal"})),COUNTIF('Raw Data'!J:J,{"Cash","Credit Card","Debit Card","PayPal"}),0)) &amp; " is the most-used payment method"</f>
        <v>Cash is the most-used payment method</v>
      </c>
      <c r="J28" s="112"/>
      <c r="K28" s="112"/>
      <c r="L28" s="112"/>
      <c r="M28" s="113" t="str">
        <f>INDEX({"Premium","Standard","Basic"},MATCH(MAX(SUMIF('Raw Data'!L:L,{"Premium","Standard","Basic"},'Raw Data'!N:N)),SUMIF('Raw Data'!L:L,{"Premium","Standard","Basic"},'Raw Data'!N:N),0)) &amp; " segment drives the most revenue"</f>
        <v>Premium segment drives the most revenue</v>
      </c>
      <c r="N28" s="113"/>
      <c r="O28" s="113"/>
      <c r="P28" s="113"/>
    </row>
    <row r="29" spans="1:16" ht="19.5" customHeight="1" x14ac:dyDescent="0.3">
      <c r="A29" s="110"/>
      <c r="B29" s="110"/>
      <c r="C29" s="110"/>
      <c r="D29" s="110"/>
      <c r="E29" s="111"/>
      <c r="F29" s="111"/>
      <c r="G29" s="111"/>
      <c r="H29" s="111"/>
      <c r="I29" s="112"/>
      <c r="J29" s="112"/>
      <c r="K29" s="112"/>
      <c r="L29" s="112"/>
      <c r="M29" s="113"/>
      <c r="N29" s="113"/>
      <c r="O29" s="113"/>
      <c r="P29" s="113"/>
    </row>
    <row r="31" spans="1:16" ht="18" customHeight="1" x14ac:dyDescent="0.3">
      <c r="A31" s="114" t="s">
        <v>893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 ht="18" customHeight="1" x14ac:dyDescent="0.3">
      <c r="A32" s="109" t="s">
        <v>894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3" spans="1:16" ht="18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</row>
  </sheetData>
  <mergeCells count="33">
    <mergeCell ref="A1:P2"/>
    <mergeCell ref="A3:P3"/>
    <mergeCell ref="A5:D5"/>
    <mergeCell ref="E5:H5"/>
    <mergeCell ref="I5:L5"/>
    <mergeCell ref="M5:P5"/>
    <mergeCell ref="A6:D9"/>
    <mergeCell ref="E6:H9"/>
    <mergeCell ref="I6:L9"/>
    <mergeCell ref="M6:P9"/>
    <mergeCell ref="A11:D11"/>
    <mergeCell ref="E11:H11"/>
    <mergeCell ref="I11:L11"/>
    <mergeCell ref="M11:P11"/>
    <mergeCell ref="A12:D14"/>
    <mergeCell ref="E12:H14"/>
    <mergeCell ref="I12:L14"/>
    <mergeCell ref="M12:P14"/>
    <mergeCell ref="A17:D17"/>
    <mergeCell ref="E17:H17"/>
    <mergeCell ref="I17:L17"/>
    <mergeCell ref="M17:P17"/>
    <mergeCell ref="A26:P26"/>
    <mergeCell ref="A27:D27"/>
    <mergeCell ref="E27:H27"/>
    <mergeCell ref="I27:L27"/>
    <mergeCell ref="M27:P27"/>
    <mergeCell ref="A32:P33"/>
    <mergeCell ref="A28:D29"/>
    <mergeCell ref="E28:H29"/>
    <mergeCell ref="I28:L29"/>
    <mergeCell ref="M28:P29"/>
    <mergeCell ref="A31:P31"/>
  </mergeCells>
  <conditionalFormatting sqref="B19:B23">
    <cfRule type="colorScale" priority="2">
      <colorScale>
        <cfvo type="min"/>
        <cfvo type="max"/>
        <color rgb="FFFFFFFF"/>
        <color rgb="FF2E75B6"/>
      </colorScale>
    </cfRule>
  </conditionalFormatting>
  <conditionalFormatting sqref="J19:J23">
    <cfRule type="colorScale" priority="3">
      <colorScale>
        <cfvo type="min"/>
        <cfvo type="max"/>
        <color rgb="FFFFFFFF"/>
        <color rgb="FF70AD4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A1:G38"/>
  <sheetViews>
    <sheetView showGridLines="0" topLeftCell="A11" zoomScaleNormal="100" workbookViewId="0">
      <selection sqref="A1:G1"/>
    </sheetView>
  </sheetViews>
  <sheetFormatPr defaultColWidth="8.6640625" defaultRowHeight="14.4" x14ac:dyDescent="0.3"/>
  <cols>
    <col min="1" max="1" width="25" customWidth="1"/>
    <col min="2" max="2" width="18" customWidth="1"/>
    <col min="3" max="3" width="30" customWidth="1"/>
    <col min="4" max="4" width="55" customWidth="1"/>
  </cols>
  <sheetData>
    <row r="1" spans="1:7" ht="31.5" customHeight="1" x14ac:dyDescent="0.3">
      <c r="A1" s="108" t="s">
        <v>895</v>
      </c>
      <c r="B1" s="108"/>
      <c r="C1" s="108"/>
      <c r="D1" s="108"/>
      <c r="E1" s="108"/>
      <c r="F1" s="108"/>
      <c r="G1" s="108"/>
    </row>
    <row r="2" spans="1:7" ht="15" customHeight="1" x14ac:dyDescent="0.3">
      <c r="A2" s="134" t="s">
        <v>896</v>
      </c>
      <c r="B2" s="134"/>
      <c r="C2" s="134"/>
      <c r="D2" s="134"/>
      <c r="E2" s="134"/>
      <c r="F2" s="134"/>
      <c r="G2" s="134"/>
    </row>
    <row r="4" spans="1:7" ht="15" customHeight="1" x14ac:dyDescent="0.3">
      <c r="A4" s="107" t="s">
        <v>897</v>
      </c>
      <c r="B4" s="107"/>
      <c r="C4" s="107"/>
      <c r="D4" s="107"/>
      <c r="E4" s="107"/>
      <c r="F4" s="107"/>
      <c r="G4" s="107"/>
    </row>
    <row r="5" spans="1:7" ht="15" customHeight="1" x14ac:dyDescent="0.3">
      <c r="A5" s="13" t="s">
        <v>789</v>
      </c>
      <c r="B5" s="147" t="str">
        <f>TEXT(SUM('Raw Data'!N:N),"$#,##0.00")</f>
        <v>$2,29,192.47</v>
      </c>
      <c r="C5" s="147"/>
      <c r="D5" s="147"/>
      <c r="E5" s="147"/>
      <c r="F5" s="147"/>
      <c r="G5" s="147"/>
    </row>
    <row r="6" spans="1:7" ht="15" customHeight="1" x14ac:dyDescent="0.3">
      <c r="A6" s="20" t="s">
        <v>898</v>
      </c>
      <c r="B6" s="148" t="str">
        <f>TEXT(COUNTA('Raw Data'!A2:A251),"0")</f>
        <v>249</v>
      </c>
      <c r="C6" s="148"/>
      <c r="D6" s="148"/>
      <c r="E6" s="148"/>
      <c r="F6" s="148"/>
      <c r="G6" s="148"/>
    </row>
    <row r="7" spans="1:7" ht="15" customHeight="1" x14ac:dyDescent="0.3">
      <c r="A7" s="13" t="s">
        <v>899</v>
      </c>
      <c r="B7" s="147" t="str">
        <f>TEXT(SUMPRODUCT(1/COUNTIF('Raw Data'!C2:C251,'Raw Data'!C2:C251)),"0")</f>
        <v>50</v>
      </c>
      <c r="C7" s="147"/>
      <c r="D7" s="147"/>
      <c r="E7" s="147"/>
      <c r="F7" s="147"/>
      <c r="G7" s="147"/>
    </row>
    <row r="8" spans="1:7" ht="15" customHeight="1" x14ac:dyDescent="0.3">
      <c r="A8" s="20" t="s">
        <v>900</v>
      </c>
      <c r="B8" s="148" t="str">
        <f>TEXT(IFERROR(SUM('Raw Data'!N:N)/COUNTA('Raw Data'!A2:A251),0),"$#,##0.00")</f>
        <v>$920.45</v>
      </c>
      <c r="C8" s="148"/>
      <c r="D8" s="148"/>
      <c r="E8" s="148"/>
      <c r="F8" s="148"/>
      <c r="G8" s="148"/>
    </row>
    <row r="9" spans="1:7" ht="15" customHeight="1" x14ac:dyDescent="0.3">
      <c r="A9" s="13" t="s">
        <v>901</v>
      </c>
      <c r="B9" s="147" t="str">
        <f>INDEX({"Electronics","Furniture","Appliances"},MATCH(MAX(SUMIF('Raw Data'!G:G,{"Electronics","Furniture","Appliances"},'Raw Data'!N:N)),SUMIF('Raw Data'!G:G,{"Electronics","Furniture","Appliances"},'Raw Data'!N:N),0))</f>
        <v>Electronics</v>
      </c>
      <c r="C9" s="147"/>
      <c r="D9" s="147"/>
      <c r="E9" s="147"/>
      <c r="F9" s="147"/>
      <c r="G9" s="147"/>
    </row>
    <row r="10" spans="1:7" ht="15" customHeight="1" x14ac:dyDescent="0.3">
      <c r="A10" s="20" t="s">
        <v>902</v>
      </c>
      <c r="B10" s="148" t="e">
        <f>INDEX('Raw Data'!F2:F251,MATCH(MAX(COUNTIF('Raw Data'!F2:F251,'Raw Data'!F2:F251)),COUNTIF('Raw Data'!F2:F251,'Raw Data'!F2:F251),0))</f>
        <v>#N/A</v>
      </c>
      <c r="C10" s="148"/>
      <c r="D10" s="148"/>
      <c r="E10" s="148"/>
      <c r="F10" s="148"/>
      <c r="G10" s="148"/>
    </row>
    <row r="11" spans="1:7" ht="15" customHeight="1" x14ac:dyDescent="0.3">
      <c r="A11" s="13" t="s">
        <v>903</v>
      </c>
      <c r="B11" s="147" t="str">
        <f>INDEX({"North","South","East","West","Central"},MATCH(MAX(SUMIF('Raw Data'!K:K,{"North","South","East","West","Central"},'Raw Data'!N:N)),SUMIF('Raw Data'!K:K,{"North","South","East","West","Central"},'Raw Data'!N:N),0))</f>
        <v>East</v>
      </c>
      <c r="C11" s="147"/>
      <c r="D11" s="147"/>
      <c r="E11" s="147"/>
      <c r="F11" s="147"/>
      <c r="G11" s="147"/>
    </row>
    <row r="12" spans="1:7" ht="15" customHeight="1" x14ac:dyDescent="0.3">
      <c r="A12" s="43" t="s">
        <v>904</v>
      </c>
      <c r="B12" s="146" t="str">
        <f>INDEX({"Cash","Credit Card","Debit Card","PayPal"},MATCH(MAX(COUNTIF('Raw Data'!J:J,{"Cash","Credit Card","Debit Card","PayPal"})),COUNTIF('Raw Data'!J:J,{"Cash","Credit Card","Debit Card","PayPal"}),0))</f>
        <v>Cash</v>
      </c>
      <c r="C12" s="146"/>
      <c r="D12" s="146"/>
      <c r="E12" s="146"/>
      <c r="F12" s="146"/>
      <c r="G12" s="146"/>
    </row>
    <row r="14" spans="1:7" ht="19.5" customHeight="1" x14ac:dyDescent="0.3">
      <c r="A14" s="107" t="s">
        <v>905</v>
      </c>
      <c r="B14" s="107"/>
      <c r="C14" s="107"/>
      <c r="D14" s="107"/>
      <c r="E14" s="107"/>
      <c r="F14" s="107"/>
      <c r="G14" s="107"/>
    </row>
    <row r="15" spans="1:7" ht="54.75" customHeight="1" x14ac:dyDescent="0.3">
      <c r="A15" s="98" t="s">
        <v>906</v>
      </c>
      <c r="B15" s="143" t="s">
        <v>907</v>
      </c>
      <c r="C15" s="143"/>
      <c r="D15" s="143"/>
      <c r="E15" s="143"/>
      <c r="F15" s="143"/>
      <c r="G15" s="143"/>
    </row>
    <row r="16" spans="1:7" ht="54.75" customHeight="1" x14ac:dyDescent="0.3">
      <c r="A16" s="98" t="s">
        <v>908</v>
      </c>
      <c r="B16" s="142" t="s">
        <v>909</v>
      </c>
      <c r="C16" s="142"/>
      <c r="D16" s="142"/>
      <c r="E16" s="142"/>
      <c r="F16" s="142"/>
      <c r="G16" s="142"/>
    </row>
    <row r="17" spans="1:7" ht="54.75" customHeight="1" x14ac:dyDescent="0.3">
      <c r="A17" s="98" t="s">
        <v>910</v>
      </c>
      <c r="B17" s="143" t="s">
        <v>911</v>
      </c>
      <c r="C17" s="143"/>
      <c r="D17" s="143"/>
      <c r="E17" s="143"/>
      <c r="F17" s="143"/>
      <c r="G17" s="143"/>
    </row>
    <row r="18" spans="1:7" ht="54.75" customHeight="1" x14ac:dyDescent="0.3">
      <c r="A18" s="98" t="s">
        <v>912</v>
      </c>
      <c r="B18" s="142" t="s">
        <v>913</v>
      </c>
      <c r="C18" s="142"/>
      <c r="D18" s="142"/>
      <c r="E18" s="142"/>
      <c r="F18" s="142"/>
      <c r="G18" s="142"/>
    </row>
    <row r="19" spans="1:7" ht="54.75" customHeight="1" x14ac:dyDescent="0.3">
      <c r="A19" s="98" t="s">
        <v>914</v>
      </c>
      <c r="B19" s="143" t="s">
        <v>915</v>
      </c>
      <c r="C19" s="143"/>
      <c r="D19" s="143"/>
      <c r="E19" s="143"/>
      <c r="F19" s="143"/>
      <c r="G19" s="143"/>
    </row>
    <row r="20" spans="1:7" ht="54.75" customHeight="1" x14ac:dyDescent="0.3">
      <c r="A20" s="99" t="s">
        <v>916</v>
      </c>
      <c r="B20" s="144" t="s">
        <v>917</v>
      </c>
      <c r="C20" s="144"/>
      <c r="D20" s="144"/>
      <c r="E20" s="144"/>
      <c r="F20" s="144"/>
      <c r="G20" s="144"/>
    </row>
    <row r="22" spans="1:7" ht="19.5" customHeight="1" x14ac:dyDescent="0.3">
      <c r="A22" s="107" t="s">
        <v>918</v>
      </c>
      <c r="B22" s="107"/>
      <c r="C22" s="107"/>
      <c r="D22" s="107"/>
      <c r="E22" s="107"/>
      <c r="F22" s="107"/>
      <c r="G22" s="107"/>
    </row>
    <row r="23" spans="1:7" ht="15" customHeight="1" x14ac:dyDescent="0.3">
      <c r="A23" s="100" t="s">
        <v>919</v>
      </c>
      <c r="B23" s="101" t="s">
        <v>920</v>
      </c>
      <c r="C23" s="101" t="s">
        <v>921</v>
      </c>
      <c r="D23" s="145" t="s">
        <v>922</v>
      </c>
      <c r="E23" s="145"/>
      <c r="F23" s="145"/>
      <c r="G23" s="145"/>
    </row>
    <row r="24" spans="1:7" ht="18" customHeight="1" x14ac:dyDescent="0.3">
      <c r="A24" s="102" t="s">
        <v>923</v>
      </c>
      <c r="B24" s="88" t="s">
        <v>924</v>
      </c>
      <c r="C24" s="88" t="s">
        <v>925</v>
      </c>
      <c r="D24" s="139" t="s">
        <v>926</v>
      </c>
      <c r="E24" s="139"/>
      <c r="F24" s="139"/>
      <c r="G24" s="139"/>
    </row>
    <row r="25" spans="1:7" ht="18" customHeight="1" x14ac:dyDescent="0.3">
      <c r="A25" s="103" t="s">
        <v>927</v>
      </c>
      <c r="B25" s="82" t="s">
        <v>924</v>
      </c>
      <c r="C25" s="82" t="s">
        <v>928</v>
      </c>
      <c r="D25" s="140" t="s">
        <v>929</v>
      </c>
      <c r="E25" s="140"/>
      <c r="F25" s="140"/>
      <c r="G25" s="140"/>
    </row>
    <row r="26" spans="1:7" ht="18" customHeight="1" x14ac:dyDescent="0.3">
      <c r="A26" s="102" t="s">
        <v>930</v>
      </c>
      <c r="B26" s="88" t="s">
        <v>924</v>
      </c>
      <c r="C26" s="88" t="s">
        <v>931</v>
      </c>
      <c r="D26" s="139" t="s">
        <v>932</v>
      </c>
      <c r="E26" s="139"/>
      <c r="F26" s="139"/>
      <c r="G26" s="139"/>
    </row>
    <row r="27" spans="1:7" ht="18" customHeight="1" x14ac:dyDescent="0.3">
      <c r="A27" s="103" t="s">
        <v>933</v>
      </c>
      <c r="B27" s="82" t="s">
        <v>934</v>
      </c>
      <c r="C27" s="82" t="s">
        <v>935</v>
      </c>
      <c r="D27" s="140" t="s">
        <v>936</v>
      </c>
      <c r="E27" s="140"/>
      <c r="F27" s="140"/>
      <c r="G27" s="140"/>
    </row>
    <row r="28" spans="1:7" ht="18" customHeight="1" x14ac:dyDescent="0.3">
      <c r="A28" s="102" t="s">
        <v>937</v>
      </c>
      <c r="B28" s="88" t="s">
        <v>934</v>
      </c>
      <c r="C28" s="88" t="s">
        <v>938</v>
      </c>
      <c r="D28" s="139" t="s">
        <v>939</v>
      </c>
      <c r="E28" s="139"/>
      <c r="F28" s="139"/>
      <c r="G28" s="139"/>
    </row>
    <row r="29" spans="1:7" ht="18" customHeight="1" x14ac:dyDescent="0.3">
      <c r="A29" s="103" t="s">
        <v>940</v>
      </c>
      <c r="B29" s="82" t="s">
        <v>924</v>
      </c>
      <c r="C29" s="82" t="s">
        <v>941</v>
      </c>
      <c r="D29" s="140" t="s">
        <v>942</v>
      </c>
      <c r="E29" s="140"/>
      <c r="F29" s="140"/>
      <c r="G29" s="140"/>
    </row>
    <row r="30" spans="1:7" ht="18" customHeight="1" x14ac:dyDescent="0.3">
      <c r="A30" s="102" t="s">
        <v>943</v>
      </c>
      <c r="B30" s="88" t="s">
        <v>934</v>
      </c>
      <c r="C30" s="88" t="s">
        <v>944</v>
      </c>
      <c r="D30" s="139" t="s">
        <v>945</v>
      </c>
      <c r="E30" s="139"/>
      <c r="F30" s="139"/>
      <c r="G30" s="139"/>
    </row>
    <row r="31" spans="1:7" ht="18" customHeight="1" x14ac:dyDescent="0.3">
      <c r="A31" s="103" t="s">
        <v>946</v>
      </c>
      <c r="B31" s="82" t="s">
        <v>924</v>
      </c>
      <c r="C31" s="82" t="s">
        <v>947</v>
      </c>
      <c r="D31" s="140" t="s">
        <v>948</v>
      </c>
      <c r="E31" s="140"/>
      <c r="F31" s="140"/>
      <c r="G31" s="140"/>
    </row>
    <row r="32" spans="1:7" ht="18" customHeight="1" x14ac:dyDescent="0.3">
      <c r="A32" s="102" t="s">
        <v>949</v>
      </c>
      <c r="B32" s="88" t="s">
        <v>950</v>
      </c>
      <c r="C32" s="88" t="s">
        <v>951</v>
      </c>
      <c r="D32" s="139" t="s">
        <v>952</v>
      </c>
      <c r="E32" s="139"/>
      <c r="F32" s="139"/>
      <c r="G32" s="139"/>
    </row>
    <row r="33" spans="1:7" ht="18" customHeight="1" x14ac:dyDescent="0.3">
      <c r="A33" s="103" t="s">
        <v>953</v>
      </c>
      <c r="B33" s="82" t="s">
        <v>954</v>
      </c>
      <c r="C33" s="82" t="s">
        <v>955</v>
      </c>
      <c r="D33" s="140" t="s">
        <v>956</v>
      </c>
      <c r="E33" s="140"/>
      <c r="F33" s="140"/>
      <c r="G33" s="140"/>
    </row>
    <row r="34" spans="1:7" ht="18" customHeight="1" x14ac:dyDescent="0.3">
      <c r="A34" s="102" t="s">
        <v>957</v>
      </c>
      <c r="B34" s="88" t="s">
        <v>924</v>
      </c>
      <c r="C34" s="88" t="s">
        <v>958</v>
      </c>
      <c r="D34" s="139" t="s">
        <v>959</v>
      </c>
      <c r="E34" s="139"/>
      <c r="F34" s="139"/>
      <c r="G34" s="139"/>
    </row>
    <row r="35" spans="1:7" ht="18" customHeight="1" x14ac:dyDescent="0.3">
      <c r="A35" s="103" t="s">
        <v>960</v>
      </c>
      <c r="B35" s="82" t="s">
        <v>924</v>
      </c>
      <c r="C35" s="82" t="s">
        <v>961</v>
      </c>
      <c r="D35" s="140" t="s">
        <v>962</v>
      </c>
      <c r="E35" s="140"/>
      <c r="F35" s="140"/>
      <c r="G35" s="140"/>
    </row>
    <row r="36" spans="1:7" ht="18" customHeight="1" x14ac:dyDescent="0.3">
      <c r="A36" s="102" t="s">
        <v>963</v>
      </c>
      <c r="B36" s="88" t="s">
        <v>924</v>
      </c>
      <c r="C36" s="88" t="s">
        <v>964</v>
      </c>
      <c r="D36" s="139" t="s">
        <v>965</v>
      </c>
      <c r="E36" s="139"/>
      <c r="F36" s="139"/>
      <c r="G36" s="139"/>
    </row>
    <row r="37" spans="1:7" ht="18" customHeight="1" x14ac:dyDescent="0.3">
      <c r="A37" s="103" t="s">
        <v>966</v>
      </c>
      <c r="B37" s="82" t="s">
        <v>934</v>
      </c>
      <c r="C37" s="82" t="s">
        <v>967</v>
      </c>
      <c r="D37" s="140" t="s">
        <v>968</v>
      </c>
      <c r="E37" s="140"/>
      <c r="F37" s="140"/>
      <c r="G37" s="140"/>
    </row>
    <row r="38" spans="1:7" ht="18" customHeight="1" x14ac:dyDescent="0.3">
      <c r="A38" s="104" t="s">
        <v>969</v>
      </c>
      <c r="B38" s="105" t="s">
        <v>924</v>
      </c>
      <c r="C38" s="105" t="s">
        <v>970</v>
      </c>
      <c r="D38" s="141" t="s">
        <v>971</v>
      </c>
      <c r="E38" s="141"/>
      <c r="F38" s="141"/>
      <c r="G38" s="141"/>
    </row>
  </sheetData>
  <mergeCells count="35">
    <mergeCell ref="A1:G1"/>
    <mergeCell ref="A2:G2"/>
    <mergeCell ref="A4:G4"/>
    <mergeCell ref="B5:G5"/>
    <mergeCell ref="B6:G6"/>
    <mergeCell ref="B7:G7"/>
    <mergeCell ref="B8:G8"/>
    <mergeCell ref="B9:G9"/>
    <mergeCell ref="B10:G10"/>
    <mergeCell ref="B11:G11"/>
    <mergeCell ref="B12:G12"/>
    <mergeCell ref="A14:G14"/>
    <mergeCell ref="B15:G15"/>
    <mergeCell ref="B16:G16"/>
    <mergeCell ref="B17:G17"/>
    <mergeCell ref="B18:G18"/>
    <mergeCell ref="B19:G19"/>
    <mergeCell ref="B20:G20"/>
    <mergeCell ref="A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Analysis</vt:lpstr>
      <vt:lpstr>Visualizations</vt:lpstr>
      <vt:lpstr>Dashboard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Priyansh Vekariya</cp:lastModifiedBy>
  <cp:revision>4</cp:revision>
  <dcterms:created xsi:type="dcterms:W3CDTF">2026-03-27T12:11:18Z</dcterms:created>
  <dcterms:modified xsi:type="dcterms:W3CDTF">2026-03-28T11:25:47Z</dcterms:modified>
  <dc:language>en-US</dc:language>
</cp:coreProperties>
</file>