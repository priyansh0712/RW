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iyansh\Downloads\"/>
    </mc:Choice>
  </mc:AlternateContent>
  <xr:revisionPtr revIDLastSave="0" documentId="13_ncr:1_{14911A14-F9E0-4107-BE02-820D9420A4F5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Data" sheetId="1" r:id="rId1"/>
    <sheet name="Conditional" sheetId="2" r:id="rId2"/>
    <sheet name="WhatIf" sheetId="3" r:id="rId3"/>
    <sheet name="DescriptiveStats" sheetId="5" r:id="rId4"/>
    <sheet name="Storytelling" sheetId="6" r:id="rId5"/>
    <sheet name="Timestamp" sheetId="7" r:id="rId6"/>
    <sheet name="HighValue" sheetId="8" r:id="rId7"/>
    <sheet name="PivotInstructions" sheetId="9" r:id="rId8"/>
    <sheet name="Charts" sheetId="10" r:id="rId9"/>
    <sheet name="Dashboard" sheetId="11" r:id="rId10"/>
  </sheets>
  <definedNames>
    <definedName name="_xlnm._FilterDatabase" localSheetId="6" hidden="1">HighValue!$A$4:$E$174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" i="11" l="1"/>
  <c r="G10" i="11"/>
  <c r="D10" i="11"/>
  <c r="A10" i="11"/>
  <c r="J6" i="11"/>
  <c r="A7" i="11"/>
  <c r="G6" i="11"/>
  <c r="D6" i="11"/>
  <c r="A6" i="11"/>
  <c r="B5" i="6"/>
  <c r="B6" i="6"/>
  <c r="B7" i="6"/>
  <c r="B8" i="6"/>
  <c r="B9" i="6"/>
  <c r="B10" i="6"/>
  <c r="B11" i="6"/>
  <c r="B12" i="6"/>
  <c r="B13" i="6"/>
  <c r="B14" i="6"/>
  <c r="B15" i="6"/>
  <c r="B16" i="6"/>
  <c r="A4" i="6" a="1"/>
  <c r="B28" i="10"/>
  <c r="B9" i="10"/>
  <c r="B27" i="10"/>
  <c r="B8" i="10"/>
  <c r="B26" i="10"/>
  <c r="B7" i="10"/>
  <c r="B25" i="10"/>
  <c r="B6" i="10"/>
  <c r="B24" i="10"/>
  <c r="B5" i="10"/>
  <c r="D174" i="8"/>
  <c r="C174" i="8"/>
  <c r="D173" i="8"/>
  <c r="C173" i="8"/>
  <c r="D172" i="8"/>
  <c r="C172" i="8"/>
  <c r="D171" i="8"/>
  <c r="C171" i="8"/>
  <c r="D170" i="8"/>
  <c r="C170" i="8"/>
  <c r="D169" i="8"/>
  <c r="C169" i="8"/>
  <c r="D168" i="8"/>
  <c r="C168" i="8"/>
  <c r="D167" i="8"/>
  <c r="C167" i="8"/>
  <c r="D166" i="8"/>
  <c r="C166" i="8"/>
  <c r="D165" i="8"/>
  <c r="C165" i="8"/>
  <c r="D164" i="8"/>
  <c r="C164" i="8"/>
  <c r="D163" i="8"/>
  <c r="C163" i="8"/>
  <c r="D162" i="8"/>
  <c r="C162" i="8"/>
  <c r="D161" i="8"/>
  <c r="C161" i="8"/>
  <c r="D160" i="8"/>
  <c r="C160" i="8"/>
  <c r="D159" i="8"/>
  <c r="C159" i="8"/>
  <c r="D158" i="8"/>
  <c r="C158" i="8"/>
  <c r="D157" i="8"/>
  <c r="C157" i="8"/>
  <c r="D156" i="8"/>
  <c r="C156" i="8"/>
  <c r="D155" i="8"/>
  <c r="C155" i="8"/>
  <c r="D154" i="8"/>
  <c r="C154" i="8"/>
  <c r="D153" i="8"/>
  <c r="C153" i="8"/>
  <c r="D152" i="8"/>
  <c r="C152" i="8"/>
  <c r="D151" i="8"/>
  <c r="C151" i="8"/>
  <c r="D150" i="8"/>
  <c r="C150" i="8"/>
  <c r="D149" i="8"/>
  <c r="C149" i="8"/>
  <c r="D148" i="8"/>
  <c r="C148" i="8"/>
  <c r="D147" i="8"/>
  <c r="C147" i="8"/>
  <c r="D146" i="8"/>
  <c r="C146" i="8"/>
  <c r="D145" i="8"/>
  <c r="C145" i="8"/>
  <c r="D144" i="8"/>
  <c r="C144" i="8"/>
  <c r="D143" i="8"/>
  <c r="C143" i="8"/>
  <c r="D142" i="8"/>
  <c r="C142" i="8"/>
  <c r="D141" i="8"/>
  <c r="C141" i="8"/>
  <c r="D140" i="8"/>
  <c r="C140" i="8"/>
  <c r="D139" i="8"/>
  <c r="C139" i="8"/>
  <c r="D138" i="8"/>
  <c r="C138" i="8"/>
  <c r="D137" i="8"/>
  <c r="C137" i="8"/>
  <c r="D136" i="8"/>
  <c r="C136" i="8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D116" i="8"/>
  <c r="C116" i="8"/>
  <c r="D115" i="8"/>
  <c r="C115" i="8"/>
  <c r="D114" i="8"/>
  <c r="C114" i="8"/>
  <c r="D113" i="8"/>
  <c r="C113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E93" i="8" s="1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E43" i="8" s="1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E8" i="8" s="1"/>
  <c r="D7" i="8"/>
  <c r="C7" i="8"/>
  <c r="D6" i="8"/>
  <c r="C6" i="8"/>
  <c r="D5" i="8"/>
  <c r="C5" i="8"/>
  <c r="D4" i="8"/>
  <c r="C4" i="8"/>
  <c r="D13" i="7"/>
  <c r="C13" i="7"/>
  <c r="B13" i="7"/>
  <c r="A13" i="7"/>
  <c r="D12" i="7"/>
  <c r="C12" i="7"/>
  <c r="B12" i="7"/>
  <c r="A12" i="7"/>
  <c r="D11" i="7"/>
  <c r="C11" i="7"/>
  <c r="B11" i="7"/>
  <c r="A11" i="7"/>
  <c r="D10" i="7"/>
  <c r="C10" i="7"/>
  <c r="B10" i="7"/>
  <c r="A10" i="7"/>
  <c r="D9" i="7"/>
  <c r="C9" i="7"/>
  <c r="B9" i="7"/>
  <c r="A9" i="7"/>
  <c r="D8" i="7"/>
  <c r="C8" i="7"/>
  <c r="B8" i="7"/>
  <c r="A8" i="7"/>
  <c r="D7" i="7"/>
  <c r="C7" i="7"/>
  <c r="B7" i="7"/>
  <c r="A7" i="7"/>
  <c r="D6" i="7"/>
  <c r="C6" i="7"/>
  <c r="B6" i="7"/>
  <c r="A6" i="7"/>
  <c r="D5" i="7"/>
  <c r="C5" i="7"/>
  <c r="B5" i="7"/>
  <c r="A5" i="7"/>
  <c r="D4" i="7"/>
  <c r="C4" i="7"/>
  <c r="B4" i="7"/>
  <c r="A4" i="7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B15" i="3"/>
  <c r="B14" i="3"/>
  <c r="B13" i="3"/>
  <c r="B12" i="3"/>
  <c r="B11" i="3"/>
  <c r="B10" i="3"/>
  <c r="B6" i="3"/>
  <c r="B5" i="3"/>
  <c r="B4" i="3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C16" i="6" l="1"/>
  <c r="D16" i="6" s="1"/>
  <c r="A4" i="6"/>
  <c r="B4" i="6" s="1"/>
  <c r="E171" i="8"/>
  <c r="E164" i="8"/>
  <c r="E160" i="8"/>
  <c r="E157" i="8"/>
  <c r="E152" i="8"/>
  <c r="E149" i="8"/>
  <c r="E146" i="8"/>
  <c r="E108" i="8"/>
  <c r="E104" i="8"/>
  <c r="E101" i="8"/>
  <c r="E95" i="8"/>
  <c r="E91" i="8"/>
  <c r="E86" i="8"/>
  <c r="E83" i="8"/>
  <c r="E79" i="8"/>
  <c r="E75" i="8"/>
  <c r="E71" i="8"/>
  <c r="E67" i="8"/>
  <c r="E53" i="8"/>
  <c r="E50" i="8"/>
  <c r="E46" i="8"/>
  <c r="E42" i="8"/>
  <c r="E38" i="8"/>
  <c r="E34" i="8"/>
  <c r="E30" i="8"/>
  <c r="E28" i="8"/>
  <c r="E24" i="8"/>
  <c r="E20" i="8"/>
  <c r="E16" i="8"/>
  <c r="E5" i="8"/>
  <c r="E163" i="8"/>
  <c r="E113" i="8"/>
  <c r="E64" i="8"/>
  <c r="E14" i="8"/>
  <c r="E13" i="8"/>
  <c r="E12" i="8"/>
  <c r="E11" i="8"/>
  <c r="E10" i="8"/>
  <c r="E9" i="8"/>
  <c r="E174" i="8"/>
  <c r="E166" i="8"/>
  <c r="E158" i="8"/>
  <c r="E156" i="8"/>
  <c r="E153" i="8"/>
  <c r="E150" i="8"/>
  <c r="E141" i="8"/>
  <c r="E137" i="8"/>
  <c r="E133" i="8"/>
  <c r="E110" i="8"/>
  <c r="E106" i="8"/>
  <c r="E99" i="8"/>
  <c r="E62" i="8"/>
  <c r="E59" i="8"/>
  <c r="E55" i="8"/>
  <c r="E45" i="8"/>
  <c r="E29" i="8"/>
  <c r="E21" i="8"/>
  <c r="E170" i="8"/>
  <c r="E159" i="8"/>
  <c r="E154" i="8"/>
  <c r="E151" i="8"/>
  <c r="E147" i="8"/>
  <c r="E140" i="8"/>
  <c r="E128" i="8"/>
  <c r="E124" i="8"/>
  <c r="E120" i="8"/>
  <c r="E116" i="8"/>
  <c r="E102" i="8"/>
  <c r="E97" i="8"/>
  <c r="E89" i="8"/>
  <c r="E85" i="8"/>
  <c r="E81" i="8"/>
  <c r="E77" i="8"/>
  <c r="E73" i="8"/>
  <c r="E69" i="8"/>
  <c r="E65" i="8"/>
  <c r="E60" i="8"/>
  <c r="E56" i="8"/>
  <c r="E49" i="8"/>
  <c r="E35" i="8"/>
  <c r="E23" i="8"/>
  <c r="E7" i="8"/>
  <c r="E173" i="8"/>
  <c r="E165" i="8"/>
  <c r="E161" i="8"/>
  <c r="E155" i="8"/>
  <c r="E145" i="8"/>
  <c r="E138" i="8"/>
  <c r="E126" i="8"/>
  <c r="E100" i="8"/>
  <c r="E96" i="8"/>
  <c r="E92" i="8"/>
  <c r="E84" i="8"/>
  <c r="E76" i="8"/>
  <c r="E72" i="8"/>
  <c r="E68" i="8"/>
  <c r="E48" i="8"/>
  <c r="E39" i="8"/>
  <c r="E4" i="8"/>
  <c r="E172" i="8"/>
  <c r="E162" i="8"/>
  <c r="E143" i="8"/>
  <c r="E139" i="8"/>
  <c r="E135" i="8"/>
  <c r="E131" i="8"/>
  <c r="E127" i="8"/>
  <c r="E123" i="8"/>
  <c r="E119" i="8"/>
  <c r="E115" i="8"/>
  <c r="E109" i="8"/>
  <c r="E105" i="8"/>
  <c r="E88" i="8"/>
  <c r="E40" i="8"/>
  <c r="E36" i="8"/>
  <c r="E32" i="8"/>
  <c r="E19" i="8"/>
  <c r="E15" i="8"/>
  <c r="E168" i="8"/>
  <c r="E134" i="8"/>
  <c r="E129" i="8"/>
  <c r="E125" i="8"/>
  <c r="E121" i="8"/>
  <c r="E117" i="8"/>
  <c r="E112" i="8"/>
  <c r="E80" i="8"/>
  <c r="E63" i="8"/>
  <c r="E58" i="8"/>
  <c r="E52" i="8"/>
  <c r="E27" i="8"/>
  <c r="E22" i="8"/>
  <c r="E18" i="8"/>
  <c r="E6" i="8"/>
  <c r="E167" i="8"/>
  <c r="E148" i="8"/>
  <c r="E144" i="8"/>
  <c r="E130" i="8"/>
  <c r="E122" i="8"/>
  <c r="E118" i="8"/>
  <c r="E114" i="8"/>
  <c r="E98" i="8"/>
  <c r="E94" i="8"/>
  <c r="E90" i="8"/>
  <c r="E82" i="8"/>
  <c r="E78" i="8"/>
  <c r="E74" i="8"/>
  <c r="E66" i="8"/>
  <c r="E54" i="8"/>
  <c r="E51" i="8"/>
  <c r="E47" i="8"/>
  <c r="E44" i="8"/>
  <c r="E41" i="8"/>
  <c r="E37" i="8"/>
  <c r="E33" i="8"/>
  <c r="E25" i="8"/>
  <c r="E17" i="8"/>
  <c r="E169" i="8"/>
  <c r="E142" i="8"/>
  <c r="E136" i="8"/>
  <c r="E132" i="8"/>
  <c r="E111" i="8"/>
  <c r="E107" i="8"/>
  <c r="E103" i="8"/>
  <c r="E87" i="8"/>
  <c r="E70" i="8"/>
  <c r="E61" i="8"/>
  <c r="E57" i="8"/>
  <c r="E31" i="8"/>
  <c r="E26" i="8"/>
  <c r="C15" i="6"/>
  <c r="D15" i="6"/>
  <c r="C14" i="6"/>
  <c r="D14" i="6" s="1"/>
  <c r="C13" i="6"/>
  <c r="C12" i="6"/>
  <c r="D13" i="6"/>
  <c r="C11" i="6"/>
  <c r="D12" i="6"/>
  <c r="C10" i="6"/>
  <c r="D11" i="6"/>
  <c r="C9" i="6"/>
  <c r="D10" i="6"/>
  <c r="D9" i="6"/>
  <c r="C8" i="6"/>
  <c r="D8" i="6"/>
  <c r="C7" i="6"/>
  <c r="D7" i="6"/>
  <c r="C6" i="6"/>
  <c r="D6" i="6"/>
  <c r="C10" i="3"/>
  <c r="D10" i="3" s="1"/>
  <c r="E10" i="3" s="1"/>
  <c r="C11" i="3"/>
  <c r="D11" i="3" s="1"/>
  <c r="E11" i="3" s="1"/>
  <c r="C15" i="3"/>
  <c r="D15" i="3" s="1"/>
  <c r="E15" i="3" s="1"/>
  <c r="C14" i="3"/>
  <c r="D14" i="3" s="1"/>
  <c r="E14" i="3" s="1"/>
  <c r="C13" i="3"/>
  <c r="D13" i="3" s="1"/>
  <c r="E13" i="3" s="1"/>
  <c r="C12" i="3"/>
  <c r="D12" i="3" s="1"/>
  <c r="E12" i="3" s="1"/>
  <c r="D5" i="6" l="1"/>
  <c r="C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<sst xmlns="http://schemas.openxmlformats.org/spreadsheetml/2006/main" count="1789" uniqueCount="286">
  <si>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</si>
  <si>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</si>
  <si>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</si>
  <si>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</si>
  <si>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</si>
  <si>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</si>
  <si>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</si>
  <si>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</si>
  <si>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</si>
  <si>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</si>
  <si>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</si>
  <si>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</si>
  <si>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</si>
  <si>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2024-04-10</t>
  </si>
  <si>
    <t>CUST012</t>
  </si>
  <si>
    <t>Robert Anderson</t>
  </si>
  <si>
    <t>Clothing</t>
  </si>
  <si>
    <t>2024-04-11</t>
  </si>
  <si>
    <t>CUST017</t>
  </si>
  <si>
    <t>James Taylor</t>
  </si>
  <si>
    <t>East</t>
  </si>
  <si>
    <t>2024-04-14</t>
  </si>
  <si>
    <t>CUST005</t>
  </si>
  <si>
    <t>South</t>
  </si>
  <si>
    <t>Electronics</t>
  </si>
  <si>
    <t>CUST030</t>
  </si>
  <si>
    <t>James Wilson</t>
  </si>
  <si>
    <t>North</t>
  </si>
  <si>
    <t>2024-04-15</t>
  </si>
  <si>
    <t>CUST007</t>
  </si>
  <si>
    <t>Michael Anderson</t>
  </si>
  <si>
    <t>Furniture</t>
  </si>
  <si>
    <t>2024-04-16</t>
  </si>
  <si>
    <t>CUST001</t>
  </si>
  <si>
    <t>Linda Wilson</t>
  </si>
  <si>
    <t>CUST026</t>
  </si>
  <si>
    <t>Mary Davis</t>
  </si>
  <si>
    <t>2024-04-19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</si>
  <si>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</si>
  <si>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</si>
  <si>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</si>
  <si>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</si>
  <si>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</si>
  <si>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</si>
  <si>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</si>
  <si>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</si>
  <si>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2024-04-20</t>
  </si>
  <si>
    <t>2024-04-22</t>
  </si>
  <si>
    <t>2024-04-24</t>
  </si>
  <si>
    <t>CUST023</t>
  </si>
  <si>
    <t>CUST029</t>
  </si>
  <si>
    <t>David Smith</t>
  </si>
  <si>
    <t>2024-04-27</t>
  </si>
  <si>
    <t>Sarah Anderson</t>
  </si>
  <si>
    <t>2024-04-28</t>
  </si>
  <si>
    <t>CUST008</t>
  </si>
  <si>
    <t>2024-04-29</t>
  </si>
  <si>
    <t>Lisa Thomas</t>
  </si>
  <si>
    <t>CUST006</t>
  </si>
  <si>
    <t>Mary Jackson</t>
  </si>
  <si>
    <t>2024-04-30</t>
  </si>
  <si>
    <t>2024-05-02</t>
  </si>
  <si>
    <t>Lisa Davis</t>
  </si>
  <si>
    <t>2024-05-03</t>
  </si>
  <si>
    <t>CUST022</t>
  </si>
  <si>
    <t>2024-05-04</t>
  </si>
  <si>
    <t>2024-05-06</t>
  </si>
  <si>
    <t>Linda Brown</t>
  </si>
  <si>
    <t>John Brown</t>
  </si>
  <si>
    <t>2024-05-08</t>
  </si>
  <si>
    <t>2024-05-10</t>
  </si>
  <si>
    <t>CUST028</t>
  </si>
  <si>
    <t>Linda Taylor</t>
  </si>
  <si>
    <t>2024-05-14</t>
  </si>
  <si>
    <t>CUST025</t>
  </si>
  <si>
    <t>David Brown</t>
  </si>
  <si>
    <t>2024-05-15</t>
  </si>
  <si>
    <t>David Davis</t>
  </si>
  <si>
    <t>2024-05-16</t>
  </si>
  <si>
    <t>CUST021</t>
  </si>
  <si>
    <t>2024-05-17</t>
  </si>
  <si>
    <t>CUST015</t>
  </si>
  <si>
    <t>2024-05-22</t>
  </si>
  <si>
    <t>Mary Wilson</t>
  </si>
  <si>
    <t>CUST016</t>
  </si>
  <si>
    <t>Emma Wilson</t>
  </si>
  <si>
    <t>2024-05-23</t>
  </si>
  <si>
    <t>2024-06-02</t>
  </si>
  <si>
    <t>2024-06-04</t>
  </si>
  <si>
    <t>2024-06-05</t>
  </si>
  <si>
    <t>Linda Davis</t>
  </si>
  <si>
    <t>2024-06-06</t>
  </si>
  <si>
    <t>CUST011</t>
  </si>
  <si>
    <t>2024-06-07</t>
  </si>
  <si>
    <t>2024-06-08</t>
  </si>
  <si>
    <t>2024-06-14</t>
  </si>
  <si>
    <t>2024-06-18</t>
  </si>
  <si>
    <t>2024-06-20</t>
  </si>
  <si>
    <t>Sarah Davis</t>
  </si>
  <si>
    <t>2024-06-21</t>
  </si>
  <si>
    <t>CUST002</t>
  </si>
  <si>
    <t>2024-06-23</t>
  </si>
  <si>
    <t>2024-06-25</t>
  </si>
  <si>
    <t>Emma Taylor</t>
  </si>
  <si>
    <t>2024-06-27</t>
  </si>
  <si>
    <t>2024-06-28</t>
  </si>
  <si>
    <t>CUST003</t>
  </si>
  <si>
    <t>2024-06-30</t>
  </si>
  <si>
    <t>2024-07-05</t>
  </si>
  <si>
    <t>2024-07-06</t>
  </si>
  <si>
    <t>2024-07-08</t>
  </si>
  <si>
    <t>2024-07-09</t>
  </si>
  <si>
    <t>2024-07-14</t>
  </si>
  <si>
    <t>2024-07-15</t>
  </si>
  <si>
    <t>CUST020</t>
  </si>
  <si>
    <t>2024-07-21</t>
  </si>
  <si>
    <t>2024-07-29</t>
  </si>
  <si>
    <t>2024-07-30</t>
  </si>
  <si>
    <t>Linda Moore</t>
  </si>
  <si>
    <t>2024-07-31</t>
  </si>
  <si>
    <t>CUST024</t>
  </si>
  <si>
    <t>2024-08-05</t>
  </si>
  <si>
    <t>David Anderson</t>
  </si>
  <si>
    <t>2024-08-08</t>
  </si>
  <si>
    <t>2024-08-09</t>
  </si>
  <si>
    <t>2024-08-15</t>
  </si>
  <si>
    <t>CUST004</t>
  </si>
  <si>
    <t>2024-08-18</t>
  </si>
  <si>
    <t>2024-08-19</t>
  </si>
  <si>
    <t>2024-08-22</t>
  </si>
  <si>
    <t>2024-08-30</t>
  </si>
  <si>
    <t>2024-09-01</t>
  </si>
  <si>
    <t>2024-09-09</t>
  </si>
  <si>
    <t>2024-09-11</t>
  </si>
  <si>
    <t>2024-09-12</t>
  </si>
  <si>
    <t>2024-09-14</t>
  </si>
  <si>
    <t>2024-09-16</t>
  </si>
  <si>
    <t>CUST013</t>
  </si>
  <si>
    <t>2024-09-17</t>
  </si>
  <si>
    <t>CUST027</t>
  </si>
  <si>
    <t>2024-09-18</t>
  </si>
  <si>
    <t>CUST018</t>
  </si>
  <si>
    <t>2024-09-22</t>
  </si>
  <si>
    <t>2024-09-23</t>
  </si>
  <si>
    <t>2024-09-24</t>
  </si>
  <si>
    <t>2024-09-29</t>
  </si>
  <si>
    <t>2024-09-30</t>
  </si>
  <si>
    <t>2024-10-02</t>
  </si>
  <si>
    <t>2024-10-05</t>
  </si>
  <si>
    <t>2024-10-10</t>
  </si>
  <si>
    <t>2024-10-12</t>
  </si>
  <si>
    <t>2024-10-15</t>
  </si>
  <si>
    <t>2024-10-16</t>
  </si>
  <si>
    <t>2024-10-17</t>
  </si>
  <si>
    <t>2024-10-19</t>
  </si>
  <si>
    <t>2024-10-20</t>
  </si>
  <si>
    <t>2024-10-28</t>
  </si>
  <si>
    <t>2024-10-30</t>
  </si>
  <si>
    <t>2024-11-01</t>
  </si>
  <si>
    <t>2024-11-03</t>
  </si>
  <si>
    <t>2024-11-09</t>
  </si>
  <si>
    <t>2024-11-12</t>
  </si>
  <si>
    <t>2024-11-15</t>
  </si>
  <si>
    <t>2024-11-16</t>
  </si>
  <si>
    <t>2024-11-17</t>
  </si>
  <si>
    <t>2024-11-19</t>
  </si>
  <si>
    <t>2024-11-20</t>
  </si>
  <si>
    <t>2024-11-26</t>
  </si>
  <si>
    <t>2024-11-28</t>
  </si>
  <si>
    <t>2024-11-29</t>
  </si>
  <si>
    <t>2024-11-30</t>
  </si>
  <si>
    <t>2024-12-04</t>
  </si>
  <si>
    <t>2024-12-05</t>
  </si>
  <si>
    <t>2024-12-12</t>
  </si>
  <si>
    <t>2024-12-14</t>
  </si>
  <si>
    <t>2024-12-20</t>
  </si>
  <si>
    <t>2024-12-21</t>
  </si>
  <si>
    <t>2024-12-24</t>
  </si>
  <si>
    <t>2024-12-25</t>
  </si>
  <si>
    <t>2024-12-30</t>
  </si>
  <si>
    <t>2025-01-01</t>
  </si>
  <si>
    <t>2025-01-02</t>
  </si>
  <si>
    <t>2025-01-03</t>
  </si>
  <si>
    <t>2025-01-06</t>
  </si>
  <si>
    <t>2025-01-10</t>
  </si>
  <si>
    <t>2025-01-12</t>
  </si>
  <si>
    <t>2025-01-13</t>
  </si>
  <si>
    <t>2025-01-16</t>
  </si>
  <si>
    <t>2025-01-17</t>
  </si>
  <si>
    <t>2025-01-20</t>
  </si>
  <si>
    <t>2025-01-21</t>
  </si>
  <si>
    <t>2025-01-27</t>
  </si>
  <si>
    <t>2025-02-02</t>
  </si>
  <si>
    <t>2025-02-04</t>
  </si>
  <si>
    <t>2025-02-05</t>
  </si>
  <si>
    <t>2025-02-07</t>
  </si>
  <si>
    <t>2025-02-10</t>
  </si>
  <si>
    <t>2025-02-15</t>
  </si>
  <si>
    <t>2025-02-17</t>
  </si>
  <si>
    <t>2025-02-19</t>
  </si>
  <si>
    <t>2025-02-20</t>
  </si>
  <si>
    <t>2025-02-21</t>
  </si>
  <si>
    <t>2025-02-24</t>
  </si>
  <si>
    <t>2025-02-25</t>
  </si>
  <si>
    <t>2025-02-27</t>
  </si>
  <si>
    <t>2025-03-01</t>
  </si>
  <si>
    <t>2025-03-02</t>
  </si>
  <si>
    <t>2025-03-05</t>
  </si>
  <si>
    <t>2025-03-08</t>
  </si>
  <si>
    <t>2025-03-09</t>
  </si>
  <si>
    <t>2025-03-10</t>
  </si>
  <si>
    <t>2025-03-11</t>
  </si>
  <si>
    <t>2025-03-17</t>
  </si>
  <si>
    <t>2025-03-18</t>
  </si>
  <si>
    <t>2025-03-20</t>
  </si>
  <si>
    <t>2025-03-22</t>
  </si>
  <si>
    <t>2025-03-25</t>
  </si>
  <si>
    <t>2025-03-26</t>
  </si>
  <si>
    <t>2025-03-27</t>
  </si>
  <si>
    <t>2025-03-29</t>
  </si>
  <si>
    <t>2025-03-30</t>
  </si>
  <si>
    <t>2025-04-02</t>
  </si>
  <si>
    <t>2025-04-05</t>
  </si>
  <si>
    <t>2025-04-07</t>
  </si>
  <si>
    <t>Top 10 Customers by Total Purchase</t>
  </si>
  <si>
    <t>Customer ID</t>
  </si>
  <si>
    <t>Customer Name</t>
  </si>
  <si>
    <t>Total Purchase</t>
  </si>
  <si>
    <t>WHAT IF Analysis - Impact of Discount on Profit</t>
  </si>
  <si>
    <t>Current Scenario</t>
  </si>
  <si>
    <t>Total Sales:</t>
  </si>
  <si>
    <t>Total Profit:</t>
  </si>
  <si>
    <t>Current Avg Discount:</t>
  </si>
  <si>
    <t>What-If Scenarios</t>
  </si>
  <si>
    <t>New Discount Rate</t>
  </si>
  <si>
    <t>Adjusted Sales</t>
  </si>
  <si>
    <t>Adjusted Profit</t>
  </si>
  <si>
    <t>Profit Change</t>
  </si>
  <si>
    <t>Profit Change %</t>
  </si>
  <si>
    <t>Descriptive Statistics Summary</t>
  </si>
  <si>
    <t>Metric</t>
  </si>
  <si>
    <t>Mean</t>
  </si>
  <si>
    <t>Median</t>
  </si>
  <si>
    <t>Std Dev</t>
  </si>
  <si>
    <t>Variance</t>
  </si>
  <si>
    <t>Min</t>
  </si>
  <si>
    <t>Max</t>
  </si>
  <si>
    <t>Range</t>
  </si>
  <si>
    <t>Count</t>
  </si>
  <si>
    <t>Monthly Sales Growth Analysis</t>
  </si>
  <si>
    <t>Month-Year</t>
  </si>
  <si>
    <t>Total Sales</t>
  </si>
  <si>
    <t>Growth</t>
  </si>
  <si>
    <t>Growth %</t>
  </si>
  <si>
    <t>-</t>
  </si>
  <si>
    <t>Timestamp Creation with NOW()</t>
  </si>
  <si>
    <t>Order Date</t>
  </si>
  <si>
    <t>Timestamp (NOW)</t>
  </si>
  <si>
    <t>High-Value Customers (INDEX, MATCH, Filters)</t>
  </si>
  <si>
    <t>Total Profit</t>
  </si>
  <si>
    <t>High Value?</t>
  </si>
  <si>
    <t>Pivot Table Creation Instructions</t>
  </si>
  <si>
    <t>Chart Creation for KPIs</t>
  </si>
  <si>
    <t>Sales by Region (Bar Chart)</t>
  </si>
  <si>
    <t>Category</t>
  </si>
  <si>
    <t>Sales Analytics Dashboard</t>
  </si>
  <si>
    <t>Row Labels</t>
  </si>
  <si>
    <t>Grand Total</t>
  </si>
  <si>
    <t>Column Labels</t>
  </si>
  <si>
    <t>Sum of Sales</t>
  </si>
  <si>
    <t>📊  SALES PERFORMANCE DASHBOARD  |  Apr 2024 – Apr 2025</t>
  </si>
  <si>
    <t>💰 TOTAL SALES</t>
  </si>
  <si>
    <t>📈 TOTAL PROFIT</t>
  </si>
  <si>
    <t>🛒 TOTAL ORDERS</t>
  </si>
  <si>
    <t>⭐ AVG ORDER VALUE</t>
  </si>
  <si>
    <t>Margin: 35.0%</t>
  </si>
  <si>
    <t>Avg: $976/order</t>
  </si>
  <si>
    <t>Best Region: West</t>
  </si>
  <si>
    <t>🏆 TOP CUSTOMER</t>
  </si>
  <si>
    <t>📦 TOP CATEGORY</t>
  </si>
  <si>
    <t>🌍 TOP REGION</t>
  </si>
  <si>
    <t>📉 AVG DISCOUNT</t>
  </si>
  <si>
    <t>$11,611</t>
  </si>
  <si>
    <t>$47,002</t>
  </si>
  <si>
    <t>$44,084</t>
  </si>
  <si>
    <t>Min: 0% | Max: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</si>
</sst>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&quot;₹&quot;\ #,##0.00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4"/>
      <color rgb="FFFFFFFF"/>
      <name val="Cambria"/>
      <family val="1"/>
    </font>
    <font>
      <b/>
      <sz val="11"/>
      <name val="Cambria"/>
      <family val="1"/>
    </font>
    <font>
      <i/>
      <sz val="11"/>
      <color rgb="FFFF0000"/>
      <name val="Cambria"/>
      <family val="1"/>
    </font>
    <font>
      <i/>
      <sz val="11"/>
      <name val="Cambria"/>
      <family val="1"/>
    </font>
    <font>
      <b/>
      <sz val="16"/>
      <color rgb="FFFFFFFF"/>
      <name val="Cambria"/>
      <family val="1"/>
    </font>
    <font>
      <b/>
      <sz val="16"/>
      <color rgb="FFFFFFFF"/>
      <name val="Arial"/>
      <family val="2"/>
    </font>
    <font>
      <sz val="9"/>
      <color rgb="FFFFFFFF"/>
      <name val="Arial"/>
      <family val="2"/>
    </font>
    <font>
      <b/>
      <sz val="15"/>
      <color rgb="FFFFFFFF"/>
      <name val="Arial"/>
      <family val="2"/>
    </font>
    <font>
      <i/>
      <sz val="8"/>
      <color rgb="FFFFFFFF"/>
      <name val="Arial"/>
      <family val="2"/>
    </font>
    <font>
      <b/>
      <sz val="22"/>
      <color rgb="FFFFFFFF"/>
      <name val="Cambria"/>
      <family val="1"/>
    </font>
  </fonts>
  <fills count="1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203864"/>
        <bgColor rgb="FF1F4E78"/>
      </patternFill>
    </fill>
    <fill>
      <patternFill patternType="solid">
        <fgColor rgb="FFD9E1F2"/>
        <bgColor rgb="FFCCFFFF"/>
      </patternFill>
    </fill>
    <fill>
      <patternFill patternType="solid">
        <fgColor rgb="FF1F4E78"/>
        <bgColor rgb="FF203864"/>
      </patternFill>
    </fill>
    <fill>
      <patternFill patternType="solid">
        <fgColor theme="0"/>
        <bgColor rgb="FFCCFFFF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70AD47"/>
        <bgColor rgb="FF878787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404040"/>
        <bgColor rgb="FF375623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/>
    </xf>
    <xf numFmtId="0" fontId="3" fillId="4" borderId="0" xfId="0" applyFont="1" applyFill="1"/>
    <xf numFmtId="0" fontId="4" fillId="0" borderId="0" xfId="0" applyFont="1"/>
    <xf numFmtId="10" fontId="0" fillId="0" borderId="0" xfId="0" applyNumberFormat="1"/>
    <xf numFmtId="0" fontId="5" fillId="0" borderId="0" xfId="0" applyFont="1"/>
    <xf numFmtId="4" fontId="0" fillId="0" borderId="0" xfId="0" applyNumberFormat="1"/>
    <xf numFmtId="0" fontId="3" fillId="6" borderId="0" xfId="0" applyFont="1" applyFill="1"/>
    <xf numFmtId="164" fontId="3" fillId="4" borderId="0" xfId="0" applyNumberFormat="1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10" fontId="0" fillId="16" borderId="0" xfId="0" applyNumberFormat="1" applyFill="1"/>
    <xf numFmtId="0" fontId="2" fillId="3" borderId="0" xfId="0" applyFont="1" applyFill="1"/>
    <xf numFmtId="0" fontId="10" fillId="10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10" fontId="9" fillId="12" borderId="0" xfId="0" applyNumberFormat="1" applyFont="1" applyFill="1" applyAlignment="1">
      <alignment horizontal="center" vertical="center"/>
    </xf>
    <xf numFmtId="165" fontId="9" fillId="8" borderId="0" xfId="0" applyNumberFormat="1" applyFont="1" applyFill="1" applyAlignment="1">
      <alignment horizontal="center" vertical="center"/>
    </xf>
    <xf numFmtId="165" fontId="9" fillId="9" borderId="0" xfId="0" applyNumberFormat="1" applyFont="1" applyFill="1" applyAlignment="1">
      <alignment horizontal="center" vertical="center"/>
    </xf>
    <xf numFmtId="2" fontId="9" fillId="11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1" fillId="5" borderId="0" xfId="0" applyFont="1" applyFill="1"/>
    <xf numFmtId="0" fontId="6" fillId="5" borderId="0" xfId="0" applyFont="1" applyFill="1"/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solid">
          <fgColor rgb="FFCCFFFF"/>
          <bgColor rgb="FFD9E1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13648293963255"/>
          <c:y val="0.17634259259259263"/>
          <c:w val="0.86486351706036746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Charts!$A$5:$A$9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Charts!$B$5:$B$9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9-4BE7-A73F-F1E80FA8B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9822432"/>
        <c:axId val="779822912"/>
      </c:barChart>
      <c:catAx>
        <c:axId val="7798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22912"/>
        <c:crosses val="autoZero"/>
        <c:auto val="1"/>
        <c:lblAlgn val="ctr"/>
        <c:lblOffset val="100"/>
        <c:noMultiLvlLbl val="0"/>
      </c:catAx>
      <c:valAx>
        <c:axId val="7798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2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6981627296588"/>
          <c:y val="0.15319444444444447"/>
          <c:w val="0.86486351706036746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Charts!$B$23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Charts!$A$24:$A$28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Charts!$B$24:$B$28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A-4F98-9407-99670864B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779765312"/>
        <c:axId val="779774432"/>
      </c:lineChart>
      <c:catAx>
        <c:axId val="77976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774432"/>
        <c:crosses val="autoZero"/>
        <c:auto val="1"/>
        <c:lblAlgn val="ctr"/>
        <c:lblOffset val="100"/>
        <c:noMultiLvlLbl val="0"/>
      </c:catAx>
      <c:valAx>
        <c:axId val="77977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76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Charts!$B$23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546-4B65-8DEF-265E6C23D4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546-4B65-8DEF-265E6C23D4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546-4B65-8DEF-265E6C23D4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546-4B65-8DEF-265E6C23D4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546-4B65-8DEF-265E6C23D49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Charts!$A$24:$A$28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Charts!$B$24:$B$28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9-443C-8D7A-8C82EF1B0EB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13648293963255"/>
          <c:y val="0.17634259259259263"/>
          <c:w val="0.86486351706036746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Charts!$A$5:$A$9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Charts!$B$5:$B$9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A-447F-9E73-B081F59C07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79822432"/>
        <c:axId val="779822912"/>
      </c:barChart>
      <c:catAx>
        <c:axId val="7798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22912"/>
        <c:crosses val="autoZero"/>
        <c:auto val="1"/>
        <c:lblAlgn val="ctr"/>
        <c:lblOffset val="100"/>
        <c:noMultiLvlLbl val="0"/>
      </c:catAx>
      <c:valAx>
        <c:axId val="7798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2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6981627296588"/>
          <c:y val="0.15319444444444447"/>
          <c:w val="0.86486351706036746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Charts!$B$23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Charts!$A$24:$A$28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Charts!$B$24:$B$28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1-425E-B3DB-D99406416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765312"/>
        <c:axId val="779774432"/>
      </c:lineChart>
      <c:catAx>
        <c:axId val="779765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774432"/>
        <c:crosses val="autoZero"/>
        <c:auto val="1"/>
        <c:lblAlgn val="ctr"/>
        <c:lblOffset val="100"/>
        <c:noMultiLvlLbl val="0"/>
      </c:catAx>
      <c:valAx>
        <c:axId val="779774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76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Charts!$B$23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976-433D-B2C5-30E6191703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976-433D-B2C5-30E6191703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976-433D-B2C5-30E6191703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976-433D-B2C5-30E6191703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F976-433D-B2C5-30E6191703A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976-433D-B2C5-30E6191703A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976-433D-B2C5-30E6191703A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976-433D-B2C5-30E6191703A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976-433D-B2C5-30E6191703A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976-433D-B2C5-30E6191703A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Charts!$A$24:$A$28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Charts!$B$24:$B$28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76-433D-B2C5-30E6191703A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3</xdr:row>
      <xdr:rowOff>11430</xdr:rowOff>
    </xdr:from>
    <xdr:to>
      <xdr:col>10</xdr:col>
      <xdr:colOff>388620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49593-C1F5-F17D-D1D4-DC23246CF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190500</xdr:colOff>
      <xdr:row>20</xdr:row>
      <xdr:rowOff>87630</xdr:rowOff>
    </xdr:from>
    <xdr:to>
      <xdr:col>11</xdr:col>
      <xdr:colOff>7620</xdr:colOff>
      <xdr:row>35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341C6-8E77-9E06-72BB-21E70DF14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167640</xdr:colOff>
      <xdr:row>37</xdr:row>
      <xdr:rowOff>148590</xdr:rowOff>
    </xdr:from>
    <xdr:to>
      <xdr:col>9</xdr:col>
      <xdr:colOff>0</xdr:colOff>
      <xdr:row>52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E9FCEC-ED56-CCD5-BAB9-C5308C3CC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13</xdr:row>
      <xdr:rowOff>175260</xdr:rowOff>
    </xdr:from>
    <xdr:to>
      <xdr:col>4</xdr:col>
      <xdr:colOff>1104900</xdr:colOff>
      <xdr:row>32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123B84-A63A-4432-89B8-44F787D8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12</xdr:col>
      <xdr:colOff>571500</xdr:colOff>
      <xdr:row>32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773BC6-E90B-4AAA-8CBC-A351C5121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342900</xdr:colOff>
      <xdr:row>35</xdr:row>
      <xdr:rowOff>0</xdr:rowOff>
    </xdr:from>
    <xdr:to>
      <xdr:col>7</xdr:col>
      <xdr:colOff>1005840</xdr:colOff>
      <xdr:row>53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88E52F-9AC7-40FD-82D7-D276A8702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" refreshedDate="46122.740185763891" createdVersion="8" refreshedVersion="8" minRefreshableVersion="3" recordCount="200" xr:uid="{6B1666DC-49E9-4121-AC74-BD20279FA773}">
  <cacheSource type="worksheet">
    <worksheetSource ref="A1:I201" sheet="Data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0">
      <sharedItems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s v="2024-04-10"/>
    <n v="331.55"/>
  </r>
  <r>
    <s v="CUST012"/>
    <s v="Robert Anderson"/>
    <x v="0"/>
    <x v="1"/>
    <n v="1101.28"/>
    <n v="3"/>
    <n v="0.2"/>
    <s v="2024-04-11"/>
    <n v="440.51"/>
  </r>
  <r>
    <s v="CUST017"/>
    <s v="James Taylor"/>
    <x v="1"/>
    <x v="0"/>
    <n v="713.34"/>
    <n v="17"/>
    <n v="0"/>
    <s v="2024-04-14"/>
    <n v="285.33999999999997"/>
  </r>
  <r>
    <s v="CUST005"/>
    <s v="Robert Anderson"/>
    <x v="2"/>
    <x v="2"/>
    <n v="760.93"/>
    <n v="4"/>
    <n v="0.15"/>
    <s v="2024-04-14"/>
    <n v="161.69999999999999"/>
  </r>
  <r>
    <s v="CUST030"/>
    <s v="James Wilson"/>
    <x v="3"/>
    <x v="0"/>
    <n v="847"/>
    <n v="12"/>
    <n v="0.2"/>
    <s v="2024-04-15"/>
    <n v="271.04000000000002"/>
  </r>
  <r>
    <s v="CUST007"/>
    <s v="Michael Anderson"/>
    <x v="3"/>
    <x v="3"/>
    <n v="965.64"/>
    <n v="8"/>
    <n v="0.1"/>
    <s v="2024-04-16"/>
    <n v="304.18"/>
  </r>
  <r>
    <s v="CUST001"/>
    <s v="Linda Wilson"/>
    <x v="0"/>
    <x v="2"/>
    <n v="1317.53"/>
    <n v="12"/>
    <n v="0.05"/>
    <s v="2024-04-16"/>
    <n v="312.91000000000003"/>
  </r>
  <r>
    <s v="CUST026"/>
    <s v="Mary Davis"/>
    <x v="1"/>
    <x v="3"/>
    <n v="1074.47"/>
    <n v="6"/>
    <n v="0.2"/>
    <s v="2024-04-19"/>
    <n v="300.85000000000002"/>
  </r>
  <r>
    <s v="CUST009"/>
    <s v="Linda Jackson"/>
    <x v="4"/>
    <x v="0"/>
    <n v="501.54"/>
    <n v="11"/>
    <n v="0.05"/>
    <s v="2024-04-19"/>
    <n v="190.59"/>
  </r>
  <r>
    <s v="CUST010"/>
    <s v="David Thomas"/>
    <x v="4"/>
    <x v="1"/>
    <n v="737.31"/>
    <n v="2"/>
    <n v="0.05"/>
    <s v="2024-04-19"/>
    <n v="350.22"/>
  </r>
  <r>
    <s v="CUST014"/>
    <s v="Emma Davis"/>
    <x v="0"/>
    <x v="4"/>
    <n v="1572.82"/>
    <n v="6"/>
    <n v="0.05"/>
    <s v="2024-04-20"/>
    <n v="672.38"/>
  </r>
  <r>
    <s v="CUST014"/>
    <s v="David Thomas"/>
    <x v="4"/>
    <x v="0"/>
    <n v="1343.13"/>
    <n v="14"/>
    <n v="0.15"/>
    <s v="2024-04-22"/>
    <n v="456.66"/>
  </r>
  <r>
    <s v="CUST007"/>
    <s v="Michael Anderson"/>
    <x v="4"/>
    <x v="0"/>
    <n v="1191.58"/>
    <n v="14"/>
    <n v="0.05"/>
    <s v="2024-04-24"/>
    <n v="452.8"/>
  </r>
  <r>
    <s v="CUST023"/>
    <s v="Robert Anderson"/>
    <x v="0"/>
    <x v="3"/>
    <n v="822.28"/>
    <n v="7"/>
    <n v="0.05"/>
    <s v="2024-04-24"/>
    <n v="273.41000000000003"/>
  </r>
  <r>
    <s v="CUST029"/>
    <s v="David Smith"/>
    <x v="3"/>
    <x v="3"/>
    <n v="521.66999999999996"/>
    <n v="15"/>
    <n v="0.15"/>
    <s v="2024-04-27"/>
    <n v="155.19999999999999"/>
  </r>
  <r>
    <s v="CUST005"/>
    <s v="Sarah Anderson"/>
    <x v="2"/>
    <x v="2"/>
    <n v="1502.93"/>
    <n v="14"/>
    <n v="0.2"/>
    <s v="2024-04-28"/>
    <n v="300.58999999999997"/>
  </r>
  <r>
    <s v="CUST008"/>
    <s v="Robert Anderson"/>
    <x v="2"/>
    <x v="0"/>
    <n v="877.58"/>
    <n v="10"/>
    <n v="0.15"/>
    <s v="2024-04-29"/>
    <n v="298.38"/>
  </r>
  <r>
    <s v="CUST001"/>
    <s v="Lisa Thomas"/>
    <x v="0"/>
    <x v="0"/>
    <n v="636.70000000000005"/>
    <n v="4"/>
    <n v="0.2"/>
    <s v="2024-04-29"/>
    <n v="203.74"/>
  </r>
  <r>
    <s v="CUST006"/>
    <s v="Mary Jackson"/>
    <x v="0"/>
    <x v="0"/>
    <n v="1506.14"/>
    <n v="13"/>
    <n v="0.2"/>
    <s v="2024-04-30"/>
    <n v="481.96"/>
  </r>
  <r>
    <s v="CUST026"/>
    <s v="Mary Davis"/>
    <x v="4"/>
    <x v="2"/>
    <n v="645.02"/>
    <n v="4"/>
    <n v="0"/>
    <s v="2024-05-02"/>
    <n v="161.26"/>
  </r>
  <r>
    <s v="CUST007"/>
    <s v="Lisa Davis"/>
    <x v="2"/>
    <x v="1"/>
    <n v="953.3"/>
    <n v="11"/>
    <n v="0"/>
    <s v="2024-05-03"/>
    <n v="476.65"/>
  </r>
  <r>
    <s v="CUST022"/>
    <s v="Robert Anderson"/>
    <x v="3"/>
    <x v="2"/>
    <n v="388.56"/>
    <n v="14"/>
    <n v="0.15"/>
    <s v="2024-05-04"/>
    <n v="82.57"/>
  </r>
  <r>
    <s v="CUST019"/>
    <s v="Mary Davis"/>
    <x v="0"/>
    <x v="0"/>
    <n v="743.17"/>
    <n v="9"/>
    <n v="0"/>
    <s v="2024-05-04"/>
    <n v="297.27"/>
  </r>
  <r>
    <s v="CUST023"/>
    <s v="Mary Davis"/>
    <x v="4"/>
    <x v="2"/>
    <n v="706.37"/>
    <n v="6"/>
    <n v="0"/>
    <s v="2024-05-04"/>
    <n v="176.59"/>
  </r>
  <r>
    <s v="CUST012"/>
    <s v="Mary Davis"/>
    <x v="4"/>
    <x v="4"/>
    <n v="925.31"/>
    <n v="8"/>
    <n v="0.1"/>
    <s v="2024-05-06"/>
    <n v="374.75"/>
  </r>
  <r>
    <s v="CUST010"/>
    <s v="Linda Brown"/>
    <x v="2"/>
    <x v="2"/>
    <n v="1173.1199999999999"/>
    <n v="18"/>
    <n v="0"/>
    <s v="2024-05-06"/>
    <n v="293.27999999999997"/>
  </r>
  <r>
    <s v="CUST030"/>
    <s v="John Brown"/>
    <x v="3"/>
    <x v="3"/>
    <n v="675.54"/>
    <n v="17"/>
    <n v="0"/>
    <s v="2024-05-08"/>
    <n v="236.44"/>
  </r>
  <r>
    <s v="CUST007"/>
    <s v="Robert Anderson"/>
    <x v="4"/>
    <x v="0"/>
    <n v="939.09"/>
    <n v="2"/>
    <n v="0.05"/>
    <s v="2024-05-10"/>
    <n v="356.85"/>
  </r>
  <r>
    <s v="CUST028"/>
    <s v="Linda Taylor"/>
    <x v="1"/>
    <x v="4"/>
    <n v="983.34"/>
    <n v="19"/>
    <n v="0.1"/>
    <s v="2024-05-14"/>
    <n v="398.25"/>
  </r>
  <r>
    <s v="CUST028"/>
    <s v="James Wilson"/>
    <x v="2"/>
    <x v="2"/>
    <n v="801.21"/>
    <n v="3"/>
    <n v="0.2"/>
    <s v="2024-05-14"/>
    <n v="160.24"/>
  </r>
  <r>
    <s v="CUST025"/>
    <s v="David Brown"/>
    <x v="3"/>
    <x v="2"/>
    <n v="1450.71"/>
    <n v="5"/>
    <n v="0.1"/>
    <s v="2024-05-15"/>
    <n v="326.41000000000003"/>
  </r>
  <r>
    <s v="CUST022"/>
    <s v="David Davis"/>
    <x v="4"/>
    <x v="0"/>
    <n v="1023.21"/>
    <n v="18"/>
    <n v="0.05"/>
    <s v="2024-05-16"/>
    <n v="388.82"/>
  </r>
  <r>
    <s v="CUST001"/>
    <s v="Mary Jackson"/>
    <x v="0"/>
    <x v="3"/>
    <n v="853.72"/>
    <n v="5"/>
    <n v="0.15"/>
    <s v="2024-05-16"/>
    <n v="253.98"/>
  </r>
  <r>
    <s v="CUST021"/>
    <s v="Sarah Anderson"/>
    <x v="2"/>
    <x v="2"/>
    <n v="967.89"/>
    <n v="10"/>
    <n v="0.1"/>
    <s v="2024-05-17"/>
    <n v="217.78"/>
  </r>
  <r>
    <s v="CUST015"/>
    <s v="Linda Taylor"/>
    <x v="3"/>
    <x v="4"/>
    <n v="1200.9000000000001"/>
    <n v="14"/>
    <n v="0.05"/>
    <s v="2024-05-17"/>
    <n v="513.38"/>
  </r>
  <r>
    <s v="CUST012"/>
    <s v="Michael Anderson"/>
    <x v="0"/>
    <x v="0"/>
    <n v="472.38"/>
    <n v="12"/>
    <n v="0.2"/>
    <s v="2024-05-17"/>
    <n v="151.16"/>
  </r>
  <r>
    <s v="CUST019"/>
    <s v="David Brown"/>
    <x v="1"/>
    <x v="4"/>
    <n v="840.92"/>
    <n v="9"/>
    <n v="0.05"/>
    <s v="2024-05-17"/>
    <n v="359.49"/>
  </r>
  <r>
    <s v="CUST028"/>
    <s v="Lisa Davis"/>
    <x v="4"/>
    <x v="3"/>
    <n v="1410.06"/>
    <n v="11"/>
    <n v="0.05"/>
    <s v="2024-05-22"/>
    <n v="468.84"/>
  </r>
  <r>
    <s v="CUST008"/>
    <s v="Mary Wilson"/>
    <x v="4"/>
    <x v="3"/>
    <n v="773.09"/>
    <n v="13"/>
    <n v="0.15"/>
    <s v="2024-05-22"/>
    <n v="229.99"/>
  </r>
  <r>
    <s v="CUST016"/>
    <s v="Emma Wilson"/>
    <x v="1"/>
    <x v="0"/>
    <n v="580.42999999999995"/>
    <n v="19"/>
    <n v="0.15"/>
    <s v="2024-05-23"/>
    <n v="197.35"/>
  </r>
  <r>
    <s v="CUST005"/>
    <s v="David Smith"/>
    <x v="2"/>
    <x v="0"/>
    <n v="1151.21"/>
    <n v="15"/>
    <n v="0.1"/>
    <s v="2024-06-02"/>
    <n v="414.44"/>
  </r>
  <r>
    <s v="CUST028"/>
    <s v="James Wilson"/>
    <x v="4"/>
    <x v="4"/>
    <n v="1025.98"/>
    <n v="5"/>
    <n v="0.2"/>
    <s v="2024-06-04"/>
    <n v="369.35"/>
  </r>
  <r>
    <s v="CUST023"/>
    <s v="David Davis"/>
    <x v="1"/>
    <x v="4"/>
    <n v="556.41999999999996"/>
    <n v="11"/>
    <n v="0.15"/>
    <s v="2024-06-04"/>
    <n v="212.83"/>
  </r>
  <r>
    <s v="CUST021"/>
    <s v="James Wilson"/>
    <x v="4"/>
    <x v="0"/>
    <n v="840.85"/>
    <n v="19"/>
    <n v="0.1"/>
    <s v="2024-06-05"/>
    <n v="302.70999999999998"/>
  </r>
  <r>
    <s v="CUST026"/>
    <s v="Emma Wilson"/>
    <x v="3"/>
    <x v="3"/>
    <n v="1227.25"/>
    <n v="12"/>
    <n v="0.15"/>
    <s v="2024-06-05"/>
    <n v="365.11"/>
  </r>
  <r>
    <s v="CUST017"/>
    <s v="Linda Davis"/>
    <x v="4"/>
    <x v="2"/>
    <n v="856.7"/>
    <n v="2"/>
    <n v="0"/>
    <s v="2024-06-06"/>
    <n v="214.18"/>
  </r>
  <r>
    <s v="CUST025"/>
    <s v="David Davis"/>
    <x v="4"/>
    <x v="4"/>
    <n v="1225.42"/>
    <n v="8"/>
    <n v="0.15"/>
    <s v="2024-06-06"/>
    <n v="468.72"/>
  </r>
  <r>
    <s v="CUST011"/>
    <s v="Mary Davis"/>
    <x v="3"/>
    <x v="4"/>
    <n v="1001.57"/>
    <n v="12"/>
    <n v="0"/>
    <s v="2024-06-07"/>
    <n v="450.71"/>
  </r>
  <r>
    <s v="CUST021"/>
    <s v="Michael Anderson"/>
    <x v="1"/>
    <x v="3"/>
    <n v="1186.8499999999999"/>
    <n v="19"/>
    <n v="0.2"/>
    <s v="2024-06-08"/>
    <n v="332.32"/>
  </r>
  <r>
    <s v="CUST008"/>
    <s v="John Brown"/>
    <x v="2"/>
    <x v="2"/>
    <n v="775.45"/>
    <n v="6"/>
    <n v="0.1"/>
    <s v="2024-06-14"/>
    <n v="174.48"/>
  </r>
  <r>
    <s v="CUST007"/>
    <s v="Linda Jackson"/>
    <x v="2"/>
    <x v="2"/>
    <n v="1021.47"/>
    <n v="6"/>
    <n v="0.05"/>
    <s v="2024-06-18"/>
    <n v="242.6"/>
  </r>
  <r>
    <s v="CUST015"/>
    <s v="James Wilson"/>
    <x v="2"/>
    <x v="1"/>
    <n v="1226.6199999999999"/>
    <n v="7"/>
    <n v="0.1"/>
    <s v="2024-06-20"/>
    <n v="551.98"/>
  </r>
  <r>
    <s v="CUST030"/>
    <s v="Sarah Davis"/>
    <x v="2"/>
    <x v="3"/>
    <n v="1086.93"/>
    <n v="2"/>
    <n v="0"/>
    <s v="2024-06-21"/>
    <n v="380.43"/>
  </r>
  <r>
    <s v="CUST002"/>
    <s v="Lisa Davis"/>
    <x v="0"/>
    <x v="0"/>
    <n v="942.9"/>
    <n v="18"/>
    <n v="0.1"/>
    <s v="2024-06-23"/>
    <n v="339.44"/>
  </r>
  <r>
    <s v="CUST009"/>
    <s v="Emma Davis"/>
    <x v="3"/>
    <x v="2"/>
    <n v="818.8"/>
    <n v="15"/>
    <n v="0.15"/>
    <s v="2024-06-25"/>
    <n v="173.99"/>
  </r>
  <r>
    <s v="CUST005"/>
    <s v="Robert Anderson"/>
    <x v="2"/>
    <x v="3"/>
    <n v="919.04"/>
    <n v="10"/>
    <n v="0.2"/>
    <s v="2024-06-25"/>
    <n v="257.33"/>
  </r>
  <r>
    <s v="CUST030"/>
    <s v="Emma Taylor"/>
    <x v="4"/>
    <x v="0"/>
    <n v="973.26"/>
    <n v="11"/>
    <n v="0"/>
    <s v="2024-06-27"/>
    <n v="389.3"/>
  </r>
  <r>
    <s v="CUST029"/>
    <s v="Sarah Davis"/>
    <x v="3"/>
    <x v="2"/>
    <n v="741.61"/>
    <n v="1"/>
    <n v="0.2"/>
    <s v="2024-06-28"/>
    <n v="148.32"/>
  </r>
  <r>
    <s v="CUST003"/>
    <s v="Emma Davis"/>
    <x v="3"/>
    <x v="0"/>
    <n v="1248.82"/>
    <n v="2"/>
    <n v="0.1"/>
    <s v="2024-06-30"/>
    <n v="449.58"/>
  </r>
  <r>
    <s v="CUST012"/>
    <s v="Mary Wilson"/>
    <x v="0"/>
    <x v="1"/>
    <n v="1360.36"/>
    <n v="17"/>
    <n v="0"/>
    <s v="2024-06-30"/>
    <n v="680.18"/>
  </r>
  <r>
    <s v="CUST021"/>
    <s v="Mary Davis"/>
    <x v="1"/>
    <x v="0"/>
    <n v="1383.3"/>
    <n v="8"/>
    <n v="0.1"/>
    <s v="2024-07-05"/>
    <n v="497.99"/>
  </r>
  <r>
    <s v="CUST010"/>
    <s v="David Brown"/>
    <x v="4"/>
    <x v="4"/>
    <n v="488.99"/>
    <n v="9"/>
    <n v="0"/>
    <s v="2024-07-06"/>
    <n v="220.05"/>
  </r>
  <r>
    <s v="CUST026"/>
    <s v="Mary Davis"/>
    <x v="1"/>
    <x v="3"/>
    <n v="933.71"/>
    <n v="17"/>
    <n v="0.1"/>
    <s v="2024-07-08"/>
    <n v="294.12"/>
  </r>
  <r>
    <s v="CUST003"/>
    <s v="James Davis"/>
    <x v="0"/>
    <x v="2"/>
    <n v="1005.53"/>
    <n v="17"/>
    <n v="0.2"/>
    <s v="2024-07-08"/>
    <n v="201.11"/>
  </r>
  <r>
    <s v="CUST029"/>
    <s v="Emma Wilson"/>
    <x v="2"/>
    <x v="2"/>
    <n v="1100.0999999999999"/>
    <n v="5"/>
    <n v="0.05"/>
    <s v="2024-07-09"/>
    <n v="261.27"/>
  </r>
  <r>
    <s v="CUST003"/>
    <s v="James Wilson"/>
    <x v="3"/>
    <x v="3"/>
    <n v="1034.7"/>
    <n v="15"/>
    <n v="0.15"/>
    <s v="2024-07-14"/>
    <n v="307.82"/>
  </r>
  <r>
    <s v="CUST002"/>
    <s v="Mary Davis"/>
    <x v="2"/>
    <x v="0"/>
    <n v="876.44"/>
    <n v="12"/>
    <n v="0.05"/>
    <s v="2024-07-15"/>
    <n v="333.05"/>
  </r>
  <r>
    <s v="CUST020"/>
    <s v="David Brown"/>
    <x v="0"/>
    <x v="3"/>
    <n v="1371.34"/>
    <n v="5"/>
    <n v="0.05"/>
    <s v="2024-07-15"/>
    <n v="455.97"/>
  </r>
  <r>
    <s v="CUST021"/>
    <s v="Mary Jackson"/>
    <x v="3"/>
    <x v="2"/>
    <n v="1020.26"/>
    <n v="11"/>
    <n v="0.05"/>
    <s v="2024-07-21"/>
    <n v="242.31"/>
  </r>
  <r>
    <s v="CUST008"/>
    <s v="James Davis"/>
    <x v="4"/>
    <x v="4"/>
    <n v="804.81"/>
    <n v="1"/>
    <n v="0.05"/>
    <s v="2024-07-29"/>
    <n v="344.06"/>
  </r>
  <r>
    <s v="CUST030"/>
    <s v="David Brown"/>
    <x v="4"/>
    <x v="2"/>
    <n v="608.66"/>
    <n v="1"/>
    <n v="0.05"/>
    <s v="2024-07-30"/>
    <n v="144.56"/>
  </r>
  <r>
    <s v="CUST020"/>
    <s v="Linda Moore"/>
    <x v="2"/>
    <x v="4"/>
    <n v="981.2"/>
    <n v="19"/>
    <n v="0"/>
    <s v="2024-07-31"/>
    <n v="441.54"/>
  </r>
  <r>
    <s v="CUST024"/>
    <s v="David Brown"/>
    <x v="1"/>
    <x v="2"/>
    <n v="539.77"/>
    <n v="10"/>
    <n v="0.15"/>
    <s v="2024-08-05"/>
    <n v="114.7"/>
  </r>
  <r>
    <s v="CUST012"/>
    <s v="David Anderson"/>
    <x v="2"/>
    <x v="0"/>
    <n v="804.45"/>
    <n v="5"/>
    <n v="0.2"/>
    <s v="2024-08-05"/>
    <n v="257.42"/>
  </r>
  <r>
    <s v="CUST024"/>
    <s v="Emma Davis"/>
    <x v="0"/>
    <x v="2"/>
    <n v="1526.6"/>
    <n v="13"/>
    <n v="0.2"/>
    <s v="2024-08-08"/>
    <n v="305.32"/>
  </r>
  <r>
    <s v="CUST012"/>
    <s v="Linda Wilson"/>
    <x v="0"/>
    <x v="2"/>
    <n v="1215.26"/>
    <n v="5"/>
    <n v="0.15"/>
    <s v="2024-08-09"/>
    <n v="258.24"/>
  </r>
  <r>
    <s v="CUST005"/>
    <s v="Linda Taylor"/>
    <x v="4"/>
    <x v="3"/>
    <n v="1261.3399999999999"/>
    <n v="3"/>
    <n v="0"/>
    <s v="2024-08-15"/>
    <n v="441.47"/>
  </r>
  <r>
    <s v="CUST004"/>
    <s v="Lisa Thomas"/>
    <x v="3"/>
    <x v="3"/>
    <n v="518.07000000000005"/>
    <n v="7"/>
    <n v="0.05"/>
    <s v="2024-08-18"/>
    <n v="172.26"/>
  </r>
  <r>
    <s v="CUST026"/>
    <s v="Linda Wilson"/>
    <x v="0"/>
    <x v="4"/>
    <n v="1111.3399999999999"/>
    <n v="1"/>
    <n v="0"/>
    <s v="2024-08-19"/>
    <n v="500.1"/>
  </r>
  <r>
    <s v="CUST030"/>
    <s v="Mary Davis"/>
    <x v="1"/>
    <x v="1"/>
    <n v="1291.47"/>
    <n v="18"/>
    <n v="0.1"/>
    <s v="2024-08-22"/>
    <n v="581.16"/>
  </r>
  <r>
    <s v="CUST007"/>
    <s v="David Brown"/>
    <x v="3"/>
    <x v="0"/>
    <n v="679.71"/>
    <n v="19"/>
    <n v="0"/>
    <s v="2024-08-30"/>
    <n v="271.88"/>
  </r>
  <r>
    <s v="CUST020"/>
    <s v="Linda Jackson"/>
    <x v="1"/>
    <x v="3"/>
    <n v="1143.69"/>
    <n v="17"/>
    <n v="0"/>
    <s v="2024-08-30"/>
    <n v="400.29"/>
  </r>
  <r>
    <s v="CUST028"/>
    <s v="Linda Brown"/>
    <x v="4"/>
    <x v="2"/>
    <n v="790.08"/>
    <n v="7"/>
    <n v="0.1"/>
    <s v="2024-09-01"/>
    <n v="177.77"/>
  </r>
  <r>
    <s v="CUST005"/>
    <s v="Lisa Davis"/>
    <x v="4"/>
    <x v="0"/>
    <n v="1070.68"/>
    <n v="7"/>
    <n v="0.05"/>
    <s v="2024-09-01"/>
    <n v="406.86"/>
  </r>
  <r>
    <s v="CUST015"/>
    <s v="David Thomas"/>
    <x v="0"/>
    <x v="1"/>
    <n v="1168.8900000000001"/>
    <n v="4"/>
    <n v="0.1"/>
    <s v="2024-09-09"/>
    <n v="526"/>
  </r>
  <r>
    <s v="CUST003"/>
    <s v="James Davis"/>
    <x v="2"/>
    <x v="2"/>
    <n v="1335.87"/>
    <n v="17"/>
    <n v="0"/>
    <s v="2024-09-09"/>
    <n v="333.97"/>
  </r>
  <r>
    <s v="CUST023"/>
    <s v="David Brown"/>
    <x v="1"/>
    <x v="3"/>
    <n v="873.7"/>
    <n v="9"/>
    <n v="0"/>
    <s v="2024-09-11"/>
    <n v="305.8"/>
  </r>
  <r>
    <s v="CUST004"/>
    <s v="Sarah Davis"/>
    <x v="0"/>
    <x v="4"/>
    <n v="1443.98"/>
    <n v="19"/>
    <n v="0"/>
    <s v="2024-09-12"/>
    <n v="649.79"/>
  </r>
  <r>
    <s v="CUST023"/>
    <s v="James Wilson"/>
    <x v="1"/>
    <x v="4"/>
    <n v="1154.33"/>
    <n v="11"/>
    <n v="0.15"/>
    <s v="2024-09-14"/>
    <n v="441.53"/>
  </r>
  <r>
    <s v="CUST022"/>
    <s v="Linda Brown"/>
    <x v="2"/>
    <x v="0"/>
    <n v="1264.49"/>
    <n v="16"/>
    <n v="0.05"/>
    <s v="2024-09-14"/>
    <n v="480.51"/>
  </r>
  <r>
    <s v="CUST007"/>
    <s v="Emma Taylor"/>
    <x v="0"/>
    <x v="3"/>
    <n v="1101.55"/>
    <n v="4"/>
    <n v="0.1"/>
    <s v="2024-09-16"/>
    <n v="346.99"/>
  </r>
  <r>
    <s v="CUST013"/>
    <s v="Robert Anderson"/>
    <x v="2"/>
    <x v="3"/>
    <n v="727.73"/>
    <n v="1"/>
    <n v="0.1"/>
    <s v="2024-09-17"/>
    <n v="229.23"/>
  </r>
  <r>
    <s v="CUST027"/>
    <s v="Emma Davis"/>
    <x v="1"/>
    <x v="4"/>
    <n v="875.41"/>
    <n v="13"/>
    <n v="0.15"/>
    <s v="2024-09-17"/>
    <n v="334.84"/>
  </r>
  <r>
    <s v="CUST003"/>
    <s v="James Wilson"/>
    <x v="0"/>
    <x v="2"/>
    <n v="1158.94"/>
    <n v="19"/>
    <n v="0.2"/>
    <s v="2024-09-18"/>
    <n v="231.79"/>
  </r>
  <r>
    <s v="CUST018"/>
    <s v="Mary Jackson"/>
    <x v="2"/>
    <x v="0"/>
    <n v="966.3"/>
    <n v="2"/>
    <n v="0.15"/>
    <s v="2024-09-22"/>
    <n v="328.54"/>
  </r>
  <r>
    <s v="CUST020"/>
    <s v="James Taylor"/>
    <x v="2"/>
    <x v="0"/>
    <n v="917.48"/>
    <n v="6"/>
    <n v="0"/>
    <s v="2024-09-23"/>
    <n v="366.99"/>
  </r>
  <r>
    <s v="CUST029"/>
    <s v="Emma Wilson"/>
    <x v="0"/>
    <x v="3"/>
    <n v="1172.97"/>
    <n v="7"/>
    <n v="0.15"/>
    <s v="2024-09-24"/>
    <n v="348.96"/>
  </r>
  <r>
    <s v="CUST021"/>
    <s v="James Wilson"/>
    <x v="3"/>
    <x v="1"/>
    <n v="1205.82"/>
    <n v="11"/>
    <n v="0.1"/>
    <s v="2024-09-24"/>
    <n v="542.62"/>
  </r>
  <r>
    <s v="CUST017"/>
    <s v="Sarah Davis"/>
    <x v="0"/>
    <x v="4"/>
    <n v="826.93"/>
    <n v="10"/>
    <n v="0.2"/>
    <s v="2024-09-29"/>
    <n v="297.69"/>
  </r>
  <r>
    <s v="CUST003"/>
    <s v="James Wilson"/>
    <x v="4"/>
    <x v="1"/>
    <n v="902.19"/>
    <n v="12"/>
    <n v="0"/>
    <s v="2024-09-29"/>
    <n v="451.1"/>
  </r>
  <r>
    <s v="CUST027"/>
    <s v="Emma Davis"/>
    <x v="3"/>
    <x v="0"/>
    <n v="585.97"/>
    <n v="17"/>
    <n v="0.1"/>
    <s v="2024-09-30"/>
    <n v="210.95"/>
  </r>
  <r>
    <s v="CUST016"/>
    <s v="Michael Anderson"/>
    <x v="3"/>
    <x v="1"/>
    <n v="990.19"/>
    <n v="8"/>
    <n v="0.1"/>
    <s v="2024-09-30"/>
    <n v="445.59"/>
  </r>
  <r>
    <s v="CUST008"/>
    <s v="David Davis"/>
    <x v="4"/>
    <x v="2"/>
    <n v="1014.09"/>
    <n v="13"/>
    <n v="0.2"/>
    <s v="2024-10-02"/>
    <n v="202.82"/>
  </r>
  <r>
    <s v="CUST012"/>
    <s v="Lisa Davis"/>
    <x v="3"/>
    <x v="2"/>
    <n v="925.29"/>
    <n v="17"/>
    <n v="0"/>
    <s v="2024-10-05"/>
    <n v="231.32"/>
  </r>
  <r>
    <s v="CUST025"/>
    <s v="Mary Jackson"/>
    <x v="1"/>
    <x v="3"/>
    <n v="1286.54"/>
    <n v="8"/>
    <n v="0"/>
    <s v="2024-10-10"/>
    <n v="450.29"/>
  </r>
  <r>
    <s v="CUST014"/>
    <s v="Sarah Davis"/>
    <x v="2"/>
    <x v="0"/>
    <n v="961.62"/>
    <n v="8"/>
    <n v="0.2"/>
    <s v="2024-10-12"/>
    <n v="307.72000000000003"/>
  </r>
  <r>
    <s v="CUST008"/>
    <s v="James Wilson"/>
    <x v="1"/>
    <x v="0"/>
    <n v="1081.1400000000001"/>
    <n v="19"/>
    <n v="0.15"/>
    <s v="2024-10-12"/>
    <n v="367.59"/>
  </r>
  <r>
    <s v="CUST015"/>
    <s v="James Wilson"/>
    <x v="0"/>
    <x v="1"/>
    <n v="1923.66"/>
    <n v="9"/>
    <n v="0.2"/>
    <s v="2024-10-15"/>
    <n v="769.46"/>
  </r>
  <r>
    <s v="CUST025"/>
    <s v="Emma Taylor"/>
    <x v="4"/>
    <x v="1"/>
    <n v="728.71"/>
    <n v="14"/>
    <n v="0.1"/>
    <s v="2024-10-16"/>
    <n v="327.92"/>
  </r>
  <r>
    <s v="CUST019"/>
    <s v="Linda Jackson"/>
    <x v="4"/>
    <x v="1"/>
    <n v="1301.8900000000001"/>
    <n v="7"/>
    <n v="0.15"/>
    <s v="2024-10-16"/>
    <n v="553.29999999999995"/>
  </r>
  <r>
    <s v="CUST024"/>
    <s v="Emma Taylor"/>
    <x v="1"/>
    <x v="0"/>
    <n v="980.18"/>
    <n v="16"/>
    <n v="0.1"/>
    <s v="2024-10-17"/>
    <n v="352.86"/>
  </r>
  <r>
    <s v="CUST027"/>
    <s v="James Wilson"/>
    <x v="0"/>
    <x v="1"/>
    <n v="697.57"/>
    <n v="17"/>
    <n v="0.1"/>
    <s v="2024-10-19"/>
    <n v="313.91000000000003"/>
  </r>
  <r>
    <s v="CUST006"/>
    <s v="David Anderson"/>
    <x v="0"/>
    <x v="3"/>
    <n v="1193.6099999999999"/>
    <n v="1"/>
    <n v="0.15"/>
    <s v="2024-10-19"/>
    <n v="355.1"/>
  </r>
  <r>
    <s v="CUST009"/>
    <s v="Emma Davis"/>
    <x v="2"/>
    <x v="2"/>
    <n v="771.02"/>
    <n v="1"/>
    <n v="0"/>
    <s v="2024-10-20"/>
    <n v="192.76"/>
  </r>
  <r>
    <s v="CUST003"/>
    <s v="Linda Moore"/>
    <x v="3"/>
    <x v="1"/>
    <n v="661.09"/>
    <n v="1"/>
    <n v="0.2"/>
    <s v="2024-10-28"/>
    <n v="264.44"/>
  </r>
  <r>
    <s v="CUST012"/>
    <s v="David Brown"/>
    <x v="0"/>
    <x v="2"/>
    <n v="688.83"/>
    <n v="15"/>
    <n v="0"/>
    <s v="2024-10-30"/>
    <n v="172.21"/>
  </r>
  <r>
    <s v="CUST013"/>
    <s v="Linda Wilson"/>
    <x v="4"/>
    <x v="0"/>
    <n v="1249.0999999999999"/>
    <n v="4"/>
    <n v="0.05"/>
    <s v="2024-11-01"/>
    <n v="474.66"/>
  </r>
  <r>
    <s v="CUST008"/>
    <s v="James Wilson"/>
    <x v="1"/>
    <x v="4"/>
    <n v="1014.22"/>
    <n v="14"/>
    <n v="0.05"/>
    <s v="2024-11-03"/>
    <n v="433.58"/>
  </r>
  <r>
    <s v="CUST025"/>
    <s v="Lisa Davis"/>
    <x v="1"/>
    <x v="0"/>
    <n v="1010.58"/>
    <n v="2"/>
    <n v="0.15"/>
    <s v="2024-11-09"/>
    <n v="343.6"/>
  </r>
  <r>
    <s v="CUST026"/>
    <s v="Mary Wilson"/>
    <x v="3"/>
    <x v="3"/>
    <n v="957.29"/>
    <n v="4"/>
    <n v="0.05"/>
    <s v="2024-11-09"/>
    <n v="318.3"/>
  </r>
  <r>
    <s v="CUST001"/>
    <s v="Lisa Thomas"/>
    <x v="3"/>
    <x v="3"/>
    <n v="1077.92"/>
    <n v="3"/>
    <n v="0.05"/>
    <s v="2024-11-12"/>
    <n v="358.41"/>
  </r>
  <r>
    <s v="CUST028"/>
    <s v="Linda Brown"/>
    <x v="2"/>
    <x v="1"/>
    <n v="1163.01"/>
    <n v="5"/>
    <n v="0"/>
    <s v="2024-11-15"/>
    <n v="581.5"/>
  </r>
  <r>
    <s v="CUST025"/>
    <s v="Lisa Thomas"/>
    <x v="1"/>
    <x v="4"/>
    <n v="1014.56"/>
    <n v="10"/>
    <n v="0.1"/>
    <s v="2024-11-16"/>
    <n v="410.9"/>
  </r>
  <r>
    <s v="CUST019"/>
    <s v="James Taylor"/>
    <x v="2"/>
    <x v="2"/>
    <n v="718.04"/>
    <n v="14"/>
    <n v="0"/>
    <s v="2024-11-17"/>
    <n v="179.51"/>
  </r>
  <r>
    <s v="CUST004"/>
    <s v="James Taylor"/>
    <x v="4"/>
    <x v="1"/>
    <n v="1277.8499999999999"/>
    <n v="18"/>
    <n v="0.2"/>
    <s v="2024-11-17"/>
    <n v="511.14"/>
  </r>
  <r>
    <s v="CUST024"/>
    <s v="James Wilson"/>
    <x v="3"/>
    <x v="2"/>
    <n v="706.73"/>
    <n v="1"/>
    <n v="0.15"/>
    <s v="2024-11-17"/>
    <n v="150.18"/>
  </r>
  <r>
    <s v="CUST002"/>
    <s v="Linda Brown"/>
    <x v="1"/>
    <x v="2"/>
    <n v="1410.59"/>
    <n v="15"/>
    <n v="0"/>
    <s v="2024-11-19"/>
    <n v="352.65"/>
  </r>
  <r>
    <s v="CUST009"/>
    <s v="Emma Wilson"/>
    <x v="2"/>
    <x v="3"/>
    <n v="1350.33"/>
    <n v="10"/>
    <n v="0"/>
    <s v="2024-11-19"/>
    <n v="472.62"/>
  </r>
  <r>
    <s v="CUST029"/>
    <s v="Lisa Thomas"/>
    <x v="1"/>
    <x v="2"/>
    <n v="919.18"/>
    <n v="4"/>
    <n v="0.15"/>
    <s v="2024-11-19"/>
    <n v="195.33"/>
  </r>
  <r>
    <s v="CUST027"/>
    <s v="James Wilson"/>
    <x v="0"/>
    <x v="2"/>
    <n v="258.51"/>
    <n v="19"/>
    <n v="0"/>
    <s v="2024-11-20"/>
    <n v="64.63"/>
  </r>
  <r>
    <s v="CUST011"/>
    <s v="Emma Wilson"/>
    <x v="1"/>
    <x v="0"/>
    <n v="1213.48"/>
    <n v="5"/>
    <n v="0.05"/>
    <s v="2024-11-20"/>
    <n v="461.12"/>
  </r>
  <r>
    <s v="CUST021"/>
    <s v="Emma Davis"/>
    <x v="4"/>
    <x v="0"/>
    <n v="1150.28"/>
    <n v="8"/>
    <n v="0.05"/>
    <s v="2024-11-26"/>
    <n v="437.11"/>
  </r>
  <r>
    <s v="CUST014"/>
    <s v="David Anderson"/>
    <x v="2"/>
    <x v="3"/>
    <n v="853.86"/>
    <n v="8"/>
    <n v="0.1"/>
    <s v="2024-11-26"/>
    <n v="268.97000000000003"/>
  </r>
  <r>
    <s v="CUST018"/>
    <s v="Lisa Thomas"/>
    <x v="2"/>
    <x v="2"/>
    <n v="1061.04"/>
    <n v="1"/>
    <n v="0"/>
    <s v="2024-11-28"/>
    <n v="265.26"/>
  </r>
  <r>
    <s v="CUST001"/>
    <s v="Sarah Anderson"/>
    <x v="0"/>
    <x v="2"/>
    <n v="894.55"/>
    <n v="19"/>
    <n v="0.2"/>
    <s v="2024-11-29"/>
    <n v="178.91"/>
  </r>
  <r>
    <s v="CUST007"/>
    <s v="Emma Davis"/>
    <x v="3"/>
    <x v="4"/>
    <n v="833.91"/>
    <n v="3"/>
    <n v="0.05"/>
    <s v="2024-11-30"/>
    <n v="356.5"/>
  </r>
  <r>
    <s v="CUST015"/>
    <s v="David Anderson"/>
    <x v="0"/>
    <x v="3"/>
    <n v="820.19"/>
    <n v="4"/>
    <n v="0.2"/>
    <s v="2024-12-04"/>
    <n v="229.65"/>
  </r>
  <r>
    <s v="CUST015"/>
    <s v="Emma Davis"/>
    <x v="4"/>
    <x v="2"/>
    <n v="511.74"/>
    <n v="8"/>
    <n v="0.05"/>
    <s v="2024-12-05"/>
    <n v="121.54"/>
  </r>
  <r>
    <s v="CUST002"/>
    <s v="Emma Wilson"/>
    <x v="2"/>
    <x v="3"/>
    <n v="806.03"/>
    <n v="19"/>
    <n v="0.05"/>
    <s v="2024-12-12"/>
    <n v="268"/>
  </r>
  <r>
    <s v="CUST001"/>
    <s v="Michael Anderson"/>
    <x v="4"/>
    <x v="3"/>
    <n v="1432.47"/>
    <n v="16"/>
    <n v="0.15"/>
    <s v="2024-12-14"/>
    <n v="426.16"/>
  </r>
  <r>
    <s v="CUST027"/>
    <s v="Linda Wilson"/>
    <x v="4"/>
    <x v="2"/>
    <n v="1488.58"/>
    <n v="10"/>
    <n v="0.15"/>
    <s v="2024-12-14"/>
    <n v="316.32"/>
  </r>
  <r>
    <s v="CUST026"/>
    <s v="Emma Taylor"/>
    <x v="1"/>
    <x v="0"/>
    <n v="1231.26"/>
    <n v="9"/>
    <n v="0"/>
    <s v="2024-12-20"/>
    <n v="492.5"/>
  </r>
  <r>
    <s v="CUST026"/>
    <s v="Sarah Anderson"/>
    <x v="0"/>
    <x v="2"/>
    <n v="1161.67"/>
    <n v="19"/>
    <n v="0.2"/>
    <s v="2024-12-21"/>
    <n v="232.33"/>
  </r>
  <r>
    <s v="CUST022"/>
    <s v="Lisa Thomas"/>
    <x v="4"/>
    <x v="4"/>
    <n v="388.23"/>
    <n v="16"/>
    <n v="0.05"/>
    <s v="2024-12-24"/>
    <n v="165.97"/>
  </r>
  <r>
    <s v="CUST004"/>
    <s v="Mary Davis"/>
    <x v="3"/>
    <x v="1"/>
    <n v="1589.42"/>
    <n v="6"/>
    <n v="0.15"/>
    <s v="2024-12-25"/>
    <n v="675.5"/>
  </r>
  <r>
    <s v="CUST001"/>
    <s v="David Anderson"/>
    <x v="3"/>
    <x v="1"/>
    <n v="336.66"/>
    <n v="13"/>
    <n v="0.2"/>
    <s v="2024-12-25"/>
    <n v="134.66"/>
  </r>
  <r>
    <s v="CUST022"/>
    <s v="James Wilson"/>
    <x v="0"/>
    <x v="0"/>
    <n v="1353.79"/>
    <n v="14"/>
    <n v="0.1"/>
    <s v="2024-12-30"/>
    <n v="487.36"/>
  </r>
  <r>
    <s v="CUST011"/>
    <s v="Linda Moore"/>
    <x v="4"/>
    <x v="1"/>
    <n v="662.61"/>
    <n v="11"/>
    <n v="0.05"/>
    <s v="2025-01-01"/>
    <n v="314.74"/>
  </r>
  <r>
    <s v="CUST028"/>
    <s v="Lisa Davis"/>
    <x v="3"/>
    <x v="4"/>
    <n v="309.42"/>
    <n v="1"/>
    <n v="0.2"/>
    <s v="2025-01-01"/>
    <n v="111.39"/>
  </r>
  <r>
    <s v="CUST011"/>
    <s v="Linda Wilson"/>
    <x v="3"/>
    <x v="0"/>
    <n v="884.63"/>
    <n v="18"/>
    <n v="0.1"/>
    <s v="2025-01-02"/>
    <n v="318.47000000000003"/>
  </r>
  <r>
    <s v="CUST028"/>
    <s v="James Wilson"/>
    <x v="4"/>
    <x v="4"/>
    <n v="745.05"/>
    <n v="10"/>
    <n v="0.1"/>
    <s v="2025-01-03"/>
    <n v="301.75"/>
  </r>
  <r>
    <s v="CUST016"/>
    <s v="James Taylor"/>
    <x v="2"/>
    <x v="1"/>
    <n v="870.23"/>
    <n v="5"/>
    <n v="0.05"/>
    <s v="2025-01-03"/>
    <n v="413.36"/>
  </r>
  <r>
    <s v="CUST010"/>
    <s v="Linda Wilson"/>
    <x v="0"/>
    <x v="3"/>
    <n v="862.19"/>
    <n v="18"/>
    <n v="0.05"/>
    <s v="2025-01-06"/>
    <n v="286.68"/>
  </r>
  <r>
    <s v="CUST013"/>
    <s v="Mary Wilson"/>
    <x v="3"/>
    <x v="1"/>
    <n v="1171.18"/>
    <n v="19"/>
    <n v="0.05"/>
    <s v="2025-01-10"/>
    <n v="556.30999999999995"/>
  </r>
  <r>
    <s v="CUST015"/>
    <s v="Robert Anderson"/>
    <x v="2"/>
    <x v="3"/>
    <n v="1054.56"/>
    <n v="11"/>
    <n v="0.1"/>
    <s v="2025-01-12"/>
    <n v="332.19"/>
  </r>
  <r>
    <s v="CUST015"/>
    <s v="James Wilson"/>
    <x v="3"/>
    <x v="2"/>
    <n v="1681.21"/>
    <n v="5"/>
    <n v="0.2"/>
    <s v="2025-01-13"/>
    <n v="336.24"/>
  </r>
  <r>
    <s v="CUST015"/>
    <s v="David Thomas"/>
    <x v="0"/>
    <x v="1"/>
    <n v="379.77"/>
    <n v="9"/>
    <n v="0.05"/>
    <s v="2025-01-16"/>
    <n v="180.39"/>
  </r>
  <r>
    <s v="CUST008"/>
    <s v="Lisa Thomas"/>
    <x v="4"/>
    <x v="1"/>
    <n v="1076.33"/>
    <n v="2"/>
    <n v="0.1"/>
    <s v="2025-01-17"/>
    <n v="484.35"/>
  </r>
  <r>
    <s v="CUST008"/>
    <s v="Mary Davis"/>
    <x v="4"/>
    <x v="4"/>
    <n v="1250.71"/>
    <n v="7"/>
    <n v="0"/>
    <s v="2025-01-17"/>
    <n v="562.82000000000005"/>
  </r>
  <r>
    <s v="CUST023"/>
    <s v="James Taylor"/>
    <x v="2"/>
    <x v="1"/>
    <n v="1118.3399999999999"/>
    <n v="6"/>
    <n v="0.2"/>
    <s v="2025-01-17"/>
    <n v="447.34"/>
  </r>
  <r>
    <s v="CUST024"/>
    <s v="Linda Taylor"/>
    <x v="3"/>
    <x v="1"/>
    <n v="1622.62"/>
    <n v="12"/>
    <n v="0.2"/>
    <s v="2025-01-20"/>
    <n v="649.04999999999995"/>
  </r>
  <r>
    <s v="CUST018"/>
    <s v="Lisa Davis"/>
    <x v="3"/>
    <x v="0"/>
    <n v="640.64"/>
    <n v="11"/>
    <n v="0.2"/>
    <s v="2025-01-21"/>
    <n v="205"/>
  </r>
  <r>
    <s v="CUST030"/>
    <s v="Sarah Anderson"/>
    <x v="0"/>
    <x v="1"/>
    <n v="585.16"/>
    <n v="17"/>
    <n v="0.1"/>
    <s v="2025-01-27"/>
    <n v="263.32"/>
  </r>
  <r>
    <s v="CUST030"/>
    <s v="Mary Davis"/>
    <x v="1"/>
    <x v="1"/>
    <n v="1109.98"/>
    <n v="5"/>
    <n v="0.2"/>
    <s v="2025-02-02"/>
    <n v="443.99"/>
  </r>
  <r>
    <s v="CUST015"/>
    <s v="Lisa Thomas"/>
    <x v="1"/>
    <x v="0"/>
    <n v="1098.08"/>
    <n v="9"/>
    <n v="0.1"/>
    <s v="2025-02-04"/>
    <n v="395.31"/>
  </r>
  <r>
    <s v="CUST002"/>
    <s v="Lisa Davis"/>
    <x v="0"/>
    <x v="4"/>
    <n v="827.25"/>
    <n v="7"/>
    <n v="0.1"/>
    <s v="2025-02-05"/>
    <n v="335.04"/>
  </r>
  <r>
    <s v="CUST024"/>
    <s v="Linda Wilson"/>
    <x v="4"/>
    <x v="1"/>
    <n v="741.88"/>
    <n v="16"/>
    <n v="0.1"/>
    <s v="2025-02-07"/>
    <n v="333.85"/>
  </r>
  <r>
    <s v="CUST004"/>
    <s v="James Davis"/>
    <x v="1"/>
    <x v="4"/>
    <n v="1311.26"/>
    <n v="6"/>
    <n v="0.1"/>
    <s v="2025-02-10"/>
    <n v="531.05999999999995"/>
  </r>
  <r>
    <s v="CUST004"/>
    <s v="Mary Davis"/>
    <x v="2"/>
    <x v="4"/>
    <n v="573.32000000000005"/>
    <n v="19"/>
    <n v="0.1"/>
    <s v="2025-02-15"/>
    <n v="232.19"/>
  </r>
  <r>
    <s v="CUST028"/>
    <s v="James Wilson"/>
    <x v="0"/>
    <x v="2"/>
    <n v="1115.22"/>
    <n v="14"/>
    <n v="0.2"/>
    <s v="2025-02-17"/>
    <n v="223.04"/>
  </r>
  <r>
    <s v="CUST012"/>
    <s v="Lisa Thomas"/>
    <x v="3"/>
    <x v="1"/>
    <n v="845.84"/>
    <n v="4"/>
    <n v="0"/>
    <s v="2025-02-19"/>
    <n v="422.92"/>
  </r>
  <r>
    <s v="CUST026"/>
    <s v="David Brown"/>
    <x v="0"/>
    <x v="2"/>
    <n v="1029.8"/>
    <n v="3"/>
    <n v="0"/>
    <s v="2025-02-20"/>
    <n v="257.45"/>
  </r>
  <r>
    <s v="CUST009"/>
    <s v="Mary Davis"/>
    <x v="3"/>
    <x v="0"/>
    <n v="1189.83"/>
    <n v="2"/>
    <n v="0.2"/>
    <s v="2025-02-21"/>
    <n v="380.75"/>
  </r>
  <r>
    <s v="CUST003"/>
    <s v="Sarah Anderson"/>
    <x v="2"/>
    <x v="0"/>
    <n v="704.28"/>
    <n v="15"/>
    <n v="0.2"/>
    <s v="2025-02-24"/>
    <n v="225.37"/>
  </r>
  <r>
    <s v="CUST002"/>
    <s v="Mary Jackson"/>
    <x v="4"/>
    <x v="4"/>
    <n v="1618.22"/>
    <n v="12"/>
    <n v="0.2"/>
    <s v="2025-02-24"/>
    <n v="582.55999999999995"/>
  </r>
  <r>
    <s v="CUST013"/>
    <s v="Linda Taylor"/>
    <x v="4"/>
    <x v="0"/>
    <n v="1014.43"/>
    <n v="2"/>
    <n v="0.15"/>
    <s v="2025-02-25"/>
    <n v="344.91"/>
  </r>
  <r>
    <s v="CUST018"/>
    <s v="Mary Davis"/>
    <x v="4"/>
    <x v="1"/>
    <n v="826.97"/>
    <n v="18"/>
    <n v="0.2"/>
    <s v="2025-02-27"/>
    <n v="330.79"/>
  </r>
  <r>
    <s v="CUST017"/>
    <s v="Mary Davis"/>
    <x v="4"/>
    <x v="1"/>
    <n v="1022.23"/>
    <n v="8"/>
    <n v="0.1"/>
    <s v="2025-03-01"/>
    <n v="460"/>
  </r>
  <r>
    <s v="CUST004"/>
    <s v="Linda Wilson"/>
    <x v="1"/>
    <x v="0"/>
    <n v="1099.69"/>
    <n v="6"/>
    <n v="0"/>
    <s v="2025-03-02"/>
    <n v="439.88"/>
  </r>
  <r>
    <s v="CUST028"/>
    <s v="Sarah Davis"/>
    <x v="3"/>
    <x v="0"/>
    <n v="710.52"/>
    <n v="8"/>
    <n v="0.1"/>
    <s v="2025-03-05"/>
    <n v="255.79"/>
  </r>
  <r>
    <s v="CUST028"/>
    <s v="Mary Wilson"/>
    <x v="3"/>
    <x v="0"/>
    <n v="499.18"/>
    <n v="15"/>
    <n v="0.2"/>
    <s v="2025-03-08"/>
    <n v="159.74"/>
  </r>
  <r>
    <s v="CUST014"/>
    <s v="Emma Davis"/>
    <x v="2"/>
    <x v="0"/>
    <n v="1064.19"/>
    <n v="18"/>
    <n v="0.05"/>
    <s v="2025-03-09"/>
    <n v="404.39"/>
  </r>
  <r>
    <s v="CUST003"/>
    <s v="Emma Davis"/>
    <x v="1"/>
    <x v="4"/>
    <n v="438.76"/>
    <n v="18"/>
    <n v="0.05"/>
    <s v="2025-03-10"/>
    <n v="187.57"/>
  </r>
  <r>
    <s v="CUST029"/>
    <s v="David Brown"/>
    <x v="0"/>
    <x v="1"/>
    <n v="864.98"/>
    <n v="2"/>
    <n v="0.05"/>
    <s v="2025-03-11"/>
    <n v="410.87"/>
  </r>
  <r>
    <s v="CUST021"/>
    <s v="David Brown"/>
    <x v="0"/>
    <x v="3"/>
    <n v="984.93"/>
    <n v="14"/>
    <n v="0.2"/>
    <s v="2025-03-17"/>
    <n v="275.77999999999997"/>
  </r>
  <r>
    <s v="CUST007"/>
    <s v="David Brown"/>
    <x v="0"/>
    <x v="1"/>
    <n v="1493.49"/>
    <n v="18"/>
    <n v="0"/>
    <s v="2025-03-18"/>
    <n v="746.74"/>
  </r>
  <r>
    <s v="CUST009"/>
    <s v="Linda Taylor"/>
    <x v="2"/>
    <x v="1"/>
    <n v="689.43"/>
    <n v="9"/>
    <n v="0.1"/>
    <s v="2025-03-20"/>
    <n v="310.24"/>
  </r>
  <r>
    <s v="CUST023"/>
    <s v="Mary Wilson"/>
    <x v="2"/>
    <x v="1"/>
    <n v="682.24"/>
    <n v="1"/>
    <n v="0"/>
    <s v="2025-03-22"/>
    <n v="341.12"/>
  </r>
  <r>
    <s v="CUST029"/>
    <s v="Michael Anderson"/>
    <x v="3"/>
    <x v="2"/>
    <n v="458.54"/>
    <n v="15"/>
    <n v="0.2"/>
    <s v="2025-03-25"/>
    <n v="91.71"/>
  </r>
  <r>
    <s v="CUST009"/>
    <s v="Michael Anderson"/>
    <x v="2"/>
    <x v="3"/>
    <n v="1184.25"/>
    <n v="11"/>
    <n v="0.2"/>
    <s v="2025-03-26"/>
    <n v="331.59"/>
  </r>
  <r>
    <s v="CUST007"/>
    <s v="James Davis"/>
    <x v="2"/>
    <x v="1"/>
    <n v="762.14"/>
    <n v="9"/>
    <n v="0"/>
    <s v="2025-03-27"/>
    <n v="381.07"/>
  </r>
  <r>
    <s v="CUST030"/>
    <s v="Linda Taylor"/>
    <x v="3"/>
    <x v="0"/>
    <n v="750.71"/>
    <n v="10"/>
    <n v="0.15"/>
    <s v="2025-03-27"/>
    <n v="255.24"/>
  </r>
  <r>
    <s v="CUST018"/>
    <s v="David Anderson"/>
    <x v="4"/>
    <x v="1"/>
    <n v="1456.94"/>
    <n v="14"/>
    <n v="0.05"/>
    <s v="2025-03-29"/>
    <n v="692.05"/>
  </r>
  <r>
    <s v="CUST008"/>
    <s v="Emma Wilson"/>
    <x v="1"/>
    <x v="3"/>
    <n v="1093.3800000000001"/>
    <n v="17"/>
    <n v="0.1"/>
    <s v="2025-03-29"/>
    <n v="344.41"/>
  </r>
  <r>
    <s v="CUST014"/>
    <s v="Sarah Anderson"/>
    <x v="0"/>
    <x v="1"/>
    <n v="934.27"/>
    <n v="8"/>
    <n v="0.15"/>
    <s v="2025-03-30"/>
    <n v="397.06"/>
  </r>
  <r>
    <s v="CUST024"/>
    <s v="David Thomas"/>
    <x v="4"/>
    <x v="1"/>
    <n v="1465.35"/>
    <n v="8"/>
    <n v="0.2"/>
    <s v="2025-03-30"/>
    <n v="586.14"/>
  </r>
  <r>
    <s v="CUST028"/>
    <s v="Robert Anderson"/>
    <x v="2"/>
    <x v="4"/>
    <n v="740.8"/>
    <n v="3"/>
    <n v="0"/>
    <s v="2025-04-02"/>
    <n v="333.36"/>
  </r>
  <r>
    <s v="CUST015"/>
    <s v="Sarah Anderson"/>
    <x v="0"/>
    <x v="4"/>
    <n v="545.44000000000005"/>
    <n v="17"/>
    <n v="0"/>
    <s v="2025-04-05"/>
    <n v="245.45"/>
  </r>
  <r>
    <s v="CUST010"/>
    <s v="David Thomas"/>
    <x v="1"/>
    <x v="0"/>
    <n v="997.61"/>
    <n v="8"/>
    <n v="0.05"/>
    <s v="2025-04-07"/>
    <n v="379.09"/>
  </r>
  <r>
    <s v="CUST016"/>
    <s v="David Thomas"/>
    <x v="2"/>
    <x v="1"/>
    <n v="928.32"/>
    <n v="2"/>
    <n v="0.05"/>
    <s v="2025-04-07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75FB2-9F70-4715-86A3-3E41C65FA8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D6EC14-A5B2-4999-B570-5D238C1E0D33}" name="Table2" displayName="Table2" ref="B3:D174" totalsRowShown="0" headerRowDxfId="1">
  <autoFilter ref="B3:D174" xr:uid="{25D6EC14-A5B2-4999-B570-5D238C1E0D33}"/>
  <tableColumns count="3">
    <tableColumn id="1" xr3:uid="{CCE5791C-99A4-4C6C-8575-A488EEFF7AF4}" name="Customer ID"/>
    <tableColumn id="2" xr3:uid="{F7CEC7FA-68F3-4DED-9288-E3910460B531}" name="Customer Name"/>
    <tableColumn id="3" xr3:uid="{A3064861-E2D3-4D27-9D95-D758BB57EF16}" name="Total Purchase">
      <calculatedColumnFormula>SUMIF(Data!$A:$A,B4,Data!$E:$E)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I201"/>
  <sheetViews>
    <sheetView topLeftCell="A178" zoomScale="106" zoomScaleNormal="100" workbookViewId="0">
      <selection activeCell="J190" sqref="J190"/>
    </sheetView>
  </sheetViews>
  <sheetFormatPr defaultColWidth="8.6640625" defaultRowHeight="14.4" x14ac:dyDescent="0.3"/>
  <cols>
    <col min="1" max="10" width="15" customWidth="1"/>
  </cols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">
      <c r="A2" t="s">
        <v>9</v>
      </c>
      <c r="B2" t="s">
        <v>10</v>
      </c>
      <c r="C2" t="s">
        <v>11</v>
      </c>
      <c r="D2" t="s">
        <v>12</v>
      </c>
      <c r="E2">
        <v>1036.0899999999999</v>
      </c>
      <c r="F2">
        <v>4</v>
      </c>
      <c r="G2">
        <v>0.2</v>
      </c>
      <c r="H2" t="s">
        <v>13</v>
      </c>
      <c r="I2">
        <v>331.55</v>
      </c>
    </row>
    <row r="3" spans="1:9" ht="15" customHeight="1" x14ac:dyDescent="0.3">
      <c r="A3" t="s">
        <v>14</v>
      </c>
      <c r="B3" t="s">
        <v>15</v>
      </c>
      <c r="C3" t="s">
        <v>11</v>
      </c>
      <c r="D3" t="s">
        <v>16</v>
      </c>
      <c r="E3">
        <v>1101.28</v>
      </c>
      <c r="F3">
        <v>3</v>
      </c>
      <c r="G3">
        <v>0.2</v>
      </c>
      <c r="H3" t="s">
        <v>17</v>
      </c>
      <c r="I3">
        <v>440.51</v>
      </c>
    </row>
    <row r="4" spans="1:9" ht="15" customHeight="1" x14ac:dyDescent="0.3">
      <c r="A4" t="s">
        <v>18</v>
      </c>
      <c r="B4" t="s">
        <v>19</v>
      </c>
      <c r="C4" t="s">
        <v>20</v>
      </c>
      <c r="D4" t="s">
        <v>12</v>
      </c>
      <c r="E4">
        <v>713.34</v>
      </c>
      <c r="F4">
        <v>17</v>
      </c>
      <c r="G4">
        <v>0</v>
      </c>
      <c r="H4" t="s">
        <v>21</v>
      </c>
      <c r="I4">
        <v>285.33999999999997</v>
      </c>
    </row>
    <row r="5" spans="1:9" ht="15" customHeight="1" x14ac:dyDescent="0.3">
      <c r="A5" t="s">
        <v>22</v>
      </c>
      <c r="B5" t="s">
        <v>15</v>
      </c>
      <c r="C5" t="s">
        <v>23</v>
      </c>
      <c r="D5" t="s">
        <v>24</v>
      </c>
      <c r="E5">
        <v>760.93</v>
      </c>
      <c r="F5">
        <v>4</v>
      </c>
      <c r="G5">
        <v>0.15</v>
      </c>
      <c r="H5" t="s">
        <v>21</v>
      </c>
      <c r="I5">
        <v>161.69999999999999</v>
      </c>
    </row>
    <row r="6" spans="1:9" ht="15" customHeight="1" x14ac:dyDescent="0.3">
      <c r="A6" t="s">
        <v>25</v>
      </c>
      <c r="B6" t="s">
        <v>26</v>
      </c>
      <c r="C6" t="s">
        <v>27</v>
      </c>
      <c r="D6" t="s">
        <v>12</v>
      </c>
      <c r="E6">
        <v>847</v>
      </c>
      <c r="F6">
        <v>12</v>
      </c>
      <c r="G6">
        <v>0.2</v>
      </c>
      <c r="H6" t="s">
        <v>28</v>
      </c>
      <c r="I6">
        <v>271.04000000000002</v>
      </c>
    </row>
    <row r="7" spans="1:9" ht="15" customHeight="1" x14ac:dyDescent="0.3">
      <c r="A7" t="s">
        <v>29</v>
      </c>
      <c r="B7" t="s">
        <v>30</v>
      </c>
      <c r="C7" t="s">
        <v>27</v>
      </c>
      <c r="D7" t="s">
        <v>31</v>
      </c>
      <c r="E7">
        <v>965.64</v>
      </c>
      <c r="F7">
        <v>8</v>
      </c>
      <c r="G7">
        <v>0.1</v>
      </c>
      <c r="H7" t="s">
        <v>32</v>
      </c>
      <c r="I7">
        <v>304.18</v>
      </c>
    </row>
    <row r="8" spans="1:9" ht="15" customHeight="1" x14ac:dyDescent="0.3">
      <c r="A8" t="s">
        <v>33</v>
      </c>
      <c r="B8" t="s">
        <v>34</v>
      </c>
      <c r="C8" t="s">
        <v>11</v>
      </c>
      <c r="D8" t="s">
        <v>24</v>
      </c>
      <c r="E8">
        <v>1317.53</v>
      </c>
      <c r="F8">
        <v>12</v>
      </c>
      <c r="G8">
        <v>0.05</v>
      </c>
      <c r="H8" t="s">
        <v>32</v>
      </c>
      <c r="I8">
        <v>312.91000000000003</v>
      </c>
    </row>
    <row r="9" spans="1:9" ht="15" customHeight="1" x14ac:dyDescent="0.3">
      <c r="A9" t="s">
        <v>35</v>
      </c>
      <c r="B9" t="s">
        <v>36</v>
      </c>
      <c r="C9" t="s">
        <v>20</v>
      </c>
      <c r="D9" t="s">
        <v>31</v>
      </c>
      <c r="E9">
        <v>1074.47</v>
      </c>
      <c r="F9">
        <v>6</v>
      </c>
      <c r="G9">
        <v>0.2</v>
      </c>
      <c r="H9" t="s">
        <v>37</v>
      </c>
      <c r="I9">
        <v>300.85000000000002</v>
      </c>
    </row>
    <row r="10" spans="1:9" ht="15" customHeight="1" x14ac:dyDescent="0.3">
      <c r="A10" t="s">
        <v>38</v>
      </c>
      <c r="B10" t="s">
        <v>39</v>
      </c>
      <c r="C10" t="s">
        <v>40</v>
      </c>
      <c r="D10" t="s">
        <v>12</v>
      </c>
      <c r="E10">
        <v>501.54</v>
      </c>
      <c r="F10">
        <v>11</v>
      </c>
      <c r="G10">
        <v>0.05</v>
      </c>
      <c r="H10" t="s">
        <v>37</v>
      </c>
      <c r="I10">
        <v>190.59</v>
      </c>
    </row>
    <row r="11" spans="1:9" ht="15" customHeight="1" x14ac:dyDescent="0.3">
      <c r="A11" t="s">
        <v>41</v>
      </c>
      <c r="B11" t="s">
        <v>42</v>
      </c>
      <c r="C11" t="s">
        <v>40</v>
      </c>
      <c r="D11" t="s">
        <v>16</v>
      </c>
      <c r="E11">
        <v>737.31</v>
      </c>
      <c r="F11">
        <v>2</v>
      </c>
      <c r="G11">
        <v>0.05</v>
      </c>
      <c r="H11" t="s">
        <v>37</v>
      </c>
      <c r="I11">
        <v>350.22</v>
      </c>
    </row>
    <row r="12" spans="1:9" ht="15" customHeight="1" x14ac:dyDescent="0.3">
      <c r="A12" t="s">
        <v>43</v>
      </c>
      <c r="B12" t="s">
        <v>44</v>
      </c>
      <c r="C12" t="s">
        <v>11</v>
      </c>
      <c r="D12" t="s">
        <v>45</v>
      </c>
      <c r="E12">
        <v>1572.82</v>
      </c>
      <c r="F12">
        <v>6</v>
      </c>
      <c r="G12">
        <v>0.05</v>
      </c>
      <c r="H12" t="s">
        <v>46</v>
      </c>
      <c r="I12">
        <v>672.38</v>
      </c>
    </row>
    <row r="13" spans="1:9" ht="15" customHeight="1" x14ac:dyDescent="0.3">
      <c r="A13" t="s">
        <v>43</v>
      </c>
      <c r="B13" t="s">
        <v>42</v>
      </c>
      <c r="C13" t="s">
        <v>40</v>
      </c>
      <c r="D13" t="s">
        <v>12</v>
      </c>
      <c r="E13">
        <v>1343.13</v>
      </c>
      <c r="F13">
        <v>14</v>
      </c>
      <c r="G13">
        <v>0.15</v>
      </c>
      <c r="H13" t="s">
        <v>47</v>
      </c>
      <c r="I13">
        <v>456.66</v>
      </c>
    </row>
    <row r="14" spans="1:9" ht="15" customHeight="1" x14ac:dyDescent="0.3">
      <c r="A14" t="s">
        <v>29</v>
      </c>
      <c r="B14" t="s">
        <v>30</v>
      </c>
      <c r="C14" t="s">
        <v>40</v>
      </c>
      <c r="D14" t="s">
        <v>12</v>
      </c>
      <c r="E14">
        <v>1191.58</v>
      </c>
      <c r="F14">
        <v>14</v>
      </c>
      <c r="G14">
        <v>0.05</v>
      </c>
      <c r="H14" t="s">
        <v>48</v>
      </c>
      <c r="I14">
        <v>452.8</v>
      </c>
    </row>
    <row r="15" spans="1:9" ht="15" customHeight="1" x14ac:dyDescent="0.3">
      <c r="A15" t="s">
        <v>49</v>
      </c>
      <c r="B15" t="s">
        <v>15</v>
      </c>
      <c r="C15" t="s">
        <v>11</v>
      </c>
      <c r="D15" t="s">
        <v>31</v>
      </c>
      <c r="E15">
        <v>822.28</v>
      </c>
      <c r="F15">
        <v>7</v>
      </c>
      <c r="G15">
        <v>0.05</v>
      </c>
      <c r="H15" t="s">
        <v>48</v>
      </c>
      <c r="I15">
        <v>273.41000000000003</v>
      </c>
    </row>
    <row r="16" spans="1:9" ht="15" customHeight="1" x14ac:dyDescent="0.3">
      <c r="A16" t="s">
        <v>50</v>
      </c>
      <c r="B16" t="s">
        <v>51</v>
      </c>
      <c r="C16" t="s">
        <v>27</v>
      </c>
      <c r="D16" t="s">
        <v>31</v>
      </c>
      <c r="E16">
        <v>521.66999999999996</v>
      </c>
      <c r="F16">
        <v>15</v>
      </c>
      <c r="G16">
        <v>0.15</v>
      </c>
      <c r="H16" t="s">
        <v>52</v>
      </c>
      <c r="I16">
        <v>155.19999999999999</v>
      </c>
    </row>
    <row r="17" spans="1:9" ht="15" customHeight="1" x14ac:dyDescent="0.3">
      <c r="A17" t="s">
        <v>22</v>
      </c>
      <c r="B17" t="s">
        <v>53</v>
      </c>
      <c r="C17" t="s">
        <v>23</v>
      </c>
      <c r="D17" t="s">
        <v>24</v>
      </c>
      <c r="E17">
        <v>1502.93</v>
      </c>
      <c r="F17">
        <v>14</v>
      </c>
      <c r="G17">
        <v>0.2</v>
      </c>
      <c r="H17" t="s">
        <v>54</v>
      </c>
      <c r="I17">
        <v>300.58999999999997</v>
      </c>
    </row>
    <row r="18" spans="1:9" ht="15" customHeight="1" x14ac:dyDescent="0.3">
      <c r="A18" t="s">
        <v>55</v>
      </c>
      <c r="B18" t="s">
        <v>15</v>
      </c>
      <c r="C18" t="s">
        <v>23</v>
      </c>
      <c r="D18" t="s">
        <v>12</v>
      </c>
      <c r="E18">
        <v>877.58</v>
      </c>
      <c r="F18">
        <v>10</v>
      </c>
      <c r="G18">
        <v>0.15</v>
      </c>
      <c r="H18" t="s">
        <v>56</v>
      </c>
      <c r="I18">
        <v>298.38</v>
      </c>
    </row>
    <row r="19" spans="1:9" ht="15" customHeight="1" x14ac:dyDescent="0.3">
      <c r="A19" t="s">
        <v>33</v>
      </c>
      <c r="B19" t="s">
        <v>57</v>
      </c>
      <c r="C19" t="s">
        <v>11</v>
      </c>
      <c r="D19" t="s">
        <v>12</v>
      </c>
      <c r="E19">
        <v>636.70000000000005</v>
      </c>
      <c r="F19">
        <v>4</v>
      </c>
      <c r="G19">
        <v>0.2</v>
      </c>
      <c r="H19" t="s">
        <v>56</v>
      </c>
      <c r="I19">
        <v>203.74</v>
      </c>
    </row>
    <row r="20" spans="1:9" ht="15" customHeight="1" x14ac:dyDescent="0.3">
      <c r="A20" t="s">
        <v>58</v>
      </c>
      <c r="B20" t="s">
        <v>59</v>
      </c>
      <c r="C20" t="s">
        <v>11</v>
      </c>
      <c r="D20" t="s">
        <v>12</v>
      </c>
      <c r="E20">
        <v>1506.14</v>
      </c>
      <c r="F20">
        <v>13</v>
      </c>
      <c r="G20">
        <v>0.2</v>
      </c>
      <c r="H20" t="s">
        <v>60</v>
      </c>
      <c r="I20">
        <v>481.96</v>
      </c>
    </row>
    <row r="21" spans="1:9" ht="15" customHeight="1" x14ac:dyDescent="0.3">
      <c r="A21" t="s">
        <v>35</v>
      </c>
      <c r="B21" t="s">
        <v>36</v>
      </c>
      <c r="C21" t="s">
        <v>40</v>
      </c>
      <c r="D21" t="s">
        <v>24</v>
      </c>
      <c r="E21">
        <v>645.02</v>
      </c>
      <c r="F21">
        <v>4</v>
      </c>
      <c r="G21">
        <v>0</v>
      </c>
      <c r="H21" t="s">
        <v>61</v>
      </c>
      <c r="I21">
        <v>161.26</v>
      </c>
    </row>
    <row r="22" spans="1:9" ht="15" customHeight="1" x14ac:dyDescent="0.3">
      <c r="A22" t="s">
        <v>29</v>
      </c>
      <c r="B22" t="s">
        <v>62</v>
      </c>
      <c r="C22" t="s">
        <v>23</v>
      </c>
      <c r="D22" t="s">
        <v>16</v>
      </c>
      <c r="E22">
        <v>953.3</v>
      </c>
      <c r="F22">
        <v>11</v>
      </c>
      <c r="G22">
        <v>0</v>
      </c>
      <c r="H22" t="s">
        <v>63</v>
      </c>
      <c r="I22">
        <v>476.65</v>
      </c>
    </row>
    <row r="23" spans="1:9" ht="15" customHeight="1" x14ac:dyDescent="0.3">
      <c r="A23" t="s">
        <v>64</v>
      </c>
      <c r="B23" t="s">
        <v>15</v>
      </c>
      <c r="C23" t="s">
        <v>27</v>
      </c>
      <c r="D23" t="s">
        <v>24</v>
      </c>
      <c r="E23">
        <v>388.56</v>
      </c>
      <c r="F23">
        <v>14</v>
      </c>
      <c r="G23">
        <v>0.15</v>
      </c>
      <c r="H23" t="s">
        <v>65</v>
      </c>
      <c r="I23">
        <v>82.57</v>
      </c>
    </row>
    <row r="24" spans="1:9" ht="15" customHeight="1" x14ac:dyDescent="0.3">
      <c r="A24" t="s">
        <v>9</v>
      </c>
      <c r="B24" t="s">
        <v>36</v>
      </c>
      <c r="C24" t="s">
        <v>11</v>
      </c>
      <c r="D24" t="s">
        <v>12</v>
      </c>
      <c r="E24">
        <v>743.17</v>
      </c>
      <c r="F24">
        <v>9</v>
      </c>
      <c r="G24">
        <v>0</v>
      </c>
      <c r="H24" t="s">
        <v>65</v>
      </c>
      <c r="I24">
        <v>297.27</v>
      </c>
    </row>
    <row r="25" spans="1:9" ht="15" customHeight="1" x14ac:dyDescent="0.3">
      <c r="A25" t="s">
        <v>49</v>
      </c>
      <c r="B25" t="s">
        <v>36</v>
      </c>
      <c r="C25" t="s">
        <v>40</v>
      </c>
      <c r="D25" t="s">
        <v>24</v>
      </c>
      <c r="E25">
        <v>706.37</v>
      </c>
      <c r="F25">
        <v>6</v>
      </c>
      <c r="G25">
        <v>0</v>
      </c>
      <c r="H25" t="s">
        <v>65</v>
      </c>
      <c r="I25">
        <v>176.59</v>
      </c>
    </row>
    <row r="26" spans="1:9" ht="15" customHeight="1" x14ac:dyDescent="0.3">
      <c r="A26" t="s">
        <v>14</v>
      </c>
      <c r="B26" t="s">
        <v>36</v>
      </c>
      <c r="C26" t="s">
        <v>40</v>
      </c>
      <c r="D26" t="s">
        <v>45</v>
      </c>
      <c r="E26">
        <v>925.31</v>
      </c>
      <c r="F26">
        <v>8</v>
      </c>
      <c r="G26">
        <v>0.1</v>
      </c>
      <c r="H26" t="s">
        <v>66</v>
      </c>
      <c r="I26">
        <v>374.75</v>
      </c>
    </row>
    <row r="27" spans="1:9" ht="15" customHeight="1" x14ac:dyDescent="0.3">
      <c r="A27" t="s">
        <v>41</v>
      </c>
      <c r="B27" t="s">
        <v>67</v>
      </c>
      <c r="C27" t="s">
        <v>23</v>
      </c>
      <c r="D27" t="s">
        <v>24</v>
      </c>
      <c r="E27">
        <v>1173.1199999999999</v>
      </c>
      <c r="F27">
        <v>18</v>
      </c>
      <c r="G27">
        <v>0</v>
      </c>
      <c r="H27" t="s">
        <v>66</v>
      </c>
      <c r="I27">
        <v>293.27999999999997</v>
      </c>
    </row>
    <row r="28" spans="1:9" ht="15" customHeight="1" x14ac:dyDescent="0.3">
      <c r="A28" t="s">
        <v>25</v>
      </c>
      <c r="B28" t="s">
        <v>68</v>
      </c>
      <c r="C28" t="s">
        <v>27</v>
      </c>
      <c r="D28" t="s">
        <v>31</v>
      </c>
      <c r="E28">
        <v>675.54</v>
      </c>
      <c r="F28">
        <v>17</v>
      </c>
      <c r="G28">
        <v>0</v>
      </c>
      <c r="H28" t="s">
        <v>69</v>
      </c>
      <c r="I28">
        <v>236.44</v>
      </c>
    </row>
    <row r="29" spans="1:9" ht="15" customHeight="1" x14ac:dyDescent="0.3">
      <c r="A29" t="s">
        <v>29</v>
      </c>
      <c r="B29" t="s">
        <v>15</v>
      </c>
      <c r="C29" t="s">
        <v>40</v>
      </c>
      <c r="D29" t="s">
        <v>12</v>
      </c>
      <c r="E29">
        <v>939.09</v>
      </c>
      <c r="F29">
        <v>2</v>
      </c>
      <c r="G29">
        <v>0.05</v>
      </c>
      <c r="H29" t="s">
        <v>70</v>
      </c>
      <c r="I29">
        <v>356.85</v>
      </c>
    </row>
    <row r="30" spans="1:9" ht="15" customHeight="1" x14ac:dyDescent="0.3">
      <c r="A30" t="s">
        <v>71</v>
      </c>
      <c r="B30" t="s">
        <v>72</v>
      </c>
      <c r="C30" t="s">
        <v>20</v>
      </c>
      <c r="D30" t="s">
        <v>45</v>
      </c>
      <c r="E30">
        <v>983.34</v>
      </c>
      <c r="F30">
        <v>19</v>
      </c>
      <c r="G30">
        <v>0.1</v>
      </c>
      <c r="H30" t="s">
        <v>73</v>
      </c>
      <c r="I30">
        <v>398.25</v>
      </c>
    </row>
    <row r="31" spans="1:9" ht="15" customHeight="1" x14ac:dyDescent="0.3">
      <c r="A31" t="s">
        <v>71</v>
      </c>
      <c r="B31" t="s">
        <v>26</v>
      </c>
      <c r="C31" t="s">
        <v>23</v>
      </c>
      <c r="D31" t="s">
        <v>24</v>
      </c>
      <c r="E31">
        <v>801.21</v>
      </c>
      <c r="F31">
        <v>3</v>
      </c>
      <c r="G31">
        <v>0.2</v>
      </c>
      <c r="H31" t="s">
        <v>73</v>
      </c>
      <c r="I31">
        <v>160.24</v>
      </c>
    </row>
    <row r="32" spans="1:9" ht="15" customHeight="1" x14ac:dyDescent="0.3">
      <c r="A32" t="s">
        <v>74</v>
      </c>
      <c r="B32" t="s">
        <v>75</v>
      </c>
      <c r="C32" t="s">
        <v>27</v>
      </c>
      <c r="D32" t="s">
        <v>24</v>
      </c>
      <c r="E32">
        <v>1450.71</v>
      </c>
      <c r="F32">
        <v>5</v>
      </c>
      <c r="G32">
        <v>0.1</v>
      </c>
      <c r="H32" t="s">
        <v>76</v>
      </c>
      <c r="I32">
        <v>326.41000000000003</v>
      </c>
    </row>
    <row r="33" spans="1:9" ht="15" customHeight="1" x14ac:dyDescent="0.3">
      <c r="A33" t="s">
        <v>64</v>
      </c>
      <c r="B33" t="s">
        <v>77</v>
      </c>
      <c r="C33" t="s">
        <v>40</v>
      </c>
      <c r="D33" t="s">
        <v>12</v>
      </c>
      <c r="E33">
        <v>1023.21</v>
      </c>
      <c r="F33">
        <v>18</v>
      </c>
      <c r="G33">
        <v>0.05</v>
      </c>
      <c r="H33" t="s">
        <v>78</v>
      </c>
      <c r="I33">
        <v>388.82</v>
      </c>
    </row>
    <row r="34" spans="1:9" ht="15" customHeight="1" x14ac:dyDescent="0.3">
      <c r="A34" t="s">
        <v>33</v>
      </c>
      <c r="B34" t="s">
        <v>59</v>
      </c>
      <c r="C34" t="s">
        <v>11</v>
      </c>
      <c r="D34" t="s">
        <v>31</v>
      </c>
      <c r="E34">
        <v>853.72</v>
      </c>
      <c r="F34">
        <v>5</v>
      </c>
      <c r="G34">
        <v>0.15</v>
      </c>
      <c r="H34" t="s">
        <v>78</v>
      </c>
      <c r="I34">
        <v>253.98</v>
      </c>
    </row>
    <row r="35" spans="1:9" ht="15" customHeight="1" x14ac:dyDescent="0.3">
      <c r="A35" t="s">
        <v>79</v>
      </c>
      <c r="B35" t="s">
        <v>53</v>
      </c>
      <c r="C35" t="s">
        <v>23</v>
      </c>
      <c r="D35" t="s">
        <v>24</v>
      </c>
      <c r="E35">
        <v>967.89</v>
      </c>
      <c r="F35">
        <v>10</v>
      </c>
      <c r="G35">
        <v>0.1</v>
      </c>
      <c r="H35" t="s">
        <v>80</v>
      </c>
      <c r="I35">
        <v>217.78</v>
      </c>
    </row>
    <row r="36" spans="1:9" ht="15" customHeight="1" x14ac:dyDescent="0.3">
      <c r="A36" t="s">
        <v>81</v>
      </c>
      <c r="B36" t="s">
        <v>72</v>
      </c>
      <c r="C36" t="s">
        <v>27</v>
      </c>
      <c r="D36" t="s">
        <v>45</v>
      </c>
      <c r="E36">
        <v>1200.9000000000001</v>
      </c>
      <c r="F36">
        <v>14</v>
      </c>
      <c r="G36">
        <v>0.05</v>
      </c>
      <c r="H36" t="s">
        <v>80</v>
      </c>
      <c r="I36">
        <v>513.38</v>
      </c>
    </row>
    <row r="37" spans="1:9" ht="15" customHeight="1" x14ac:dyDescent="0.3">
      <c r="A37" t="s">
        <v>14</v>
      </c>
      <c r="B37" t="s">
        <v>30</v>
      </c>
      <c r="C37" t="s">
        <v>11</v>
      </c>
      <c r="D37" t="s">
        <v>12</v>
      </c>
      <c r="E37">
        <v>472.38</v>
      </c>
      <c r="F37">
        <v>12</v>
      </c>
      <c r="G37">
        <v>0.2</v>
      </c>
      <c r="H37" t="s">
        <v>80</v>
      </c>
      <c r="I37">
        <v>151.16</v>
      </c>
    </row>
    <row r="38" spans="1:9" ht="15" customHeight="1" x14ac:dyDescent="0.3">
      <c r="A38" t="s">
        <v>9</v>
      </c>
      <c r="B38" t="s">
        <v>75</v>
      </c>
      <c r="C38" t="s">
        <v>20</v>
      </c>
      <c r="D38" t="s">
        <v>45</v>
      </c>
      <c r="E38">
        <v>840.92</v>
      </c>
      <c r="F38">
        <v>9</v>
      </c>
      <c r="G38">
        <v>0.05</v>
      </c>
      <c r="H38" t="s">
        <v>80</v>
      </c>
      <c r="I38">
        <v>359.49</v>
      </c>
    </row>
    <row r="39" spans="1:9" ht="15" customHeight="1" x14ac:dyDescent="0.3">
      <c r="A39" t="s">
        <v>71</v>
      </c>
      <c r="B39" t="s">
        <v>62</v>
      </c>
      <c r="C39" t="s">
        <v>40</v>
      </c>
      <c r="D39" t="s">
        <v>31</v>
      </c>
      <c r="E39">
        <v>1410.06</v>
      </c>
      <c r="F39">
        <v>11</v>
      </c>
      <c r="G39">
        <v>0.05</v>
      </c>
      <c r="H39" t="s">
        <v>82</v>
      </c>
      <c r="I39">
        <v>468.84</v>
      </c>
    </row>
    <row r="40" spans="1:9" ht="15" customHeight="1" x14ac:dyDescent="0.3">
      <c r="A40" t="s">
        <v>55</v>
      </c>
      <c r="B40" t="s">
        <v>83</v>
      </c>
      <c r="C40" t="s">
        <v>40</v>
      </c>
      <c r="D40" t="s">
        <v>31</v>
      </c>
      <c r="E40">
        <v>773.09</v>
      </c>
      <c r="F40">
        <v>13</v>
      </c>
      <c r="G40">
        <v>0.15</v>
      </c>
      <c r="H40" t="s">
        <v>82</v>
      </c>
      <c r="I40">
        <v>229.99</v>
      </c>
    </row>
    <row r="41" spans="1:9" ht="15" customHeight="1" x14ac:dyDescent="0.3">
      <c r="A41" t="s">
        <v>84</v>
      </c>
      <c r="B41" t="s">
        <v>85</v>
      </c>
      <c r="C41" t="s">
        <v>20</v>
      </c>
      <c r="D41" t="s">
        <v>12</v>
      </c>
      <c r="E41">
        <v>580.42999999999995</v>
      </c>
      <c r="F41">
        <v>19</v>
      </c>
      <c r="G41">
        <v>0.15</v>
      </c>
      <c r="H41" t="s">
        <v>86</v>
      </c>
      <c r="I41">
        <v>197.35</v>
      </c>
    </row>
    <row r="42" spans="1:9" ht="15" customHeight="1" x14ac:dyDescent="0.3">
      <c r="A42" t="s">
        <v>22</v>
      </c>
      <c r="B42" t="s">
        <v>51</v>
      </c>
      <c r="C42" t="s">
        <v>23</v>
      </c>
      <c r="D42" t="s">
        <v>12</v>
      </c>
      <c r="E42">
        <v>1151.21</v>
      </c>
      <c r="F42">
        <v>15</v>
      </c>
      <c r="G42">
        <v>0.1</v>
      </c>
      <c r="H42" t="s">
        <v>87</v>
      </c>
      <c r="I42">
        <v>414.44</v>
      </c>
    </row>
    <row r="43" spans="1:9" ht="15" customHeight="1" x14ac:dyDescent="0.3">
      <c r="A43" t="s">
        <v>71</v>
      </c>
      <c r="B43" t="s">
        <v>26</v>
      </c>
      <c r="C43" t="s">
        <v>40</v>
      </c>
      <c r="D43" t="s">
        <v>45</v>
      </c>
      <c r="E43">
        <v>1025.98</v>
      </c>
      <c r="F43">
        <v>5</v>
      </c>
      <c r="G43">
        <v>0.2</v>
      </c>
      <c r="H43" t="s">
        <v>88</v>
      </c>
      <c r="I43">
        <v>369.35</v>
      </c>
    </row>
    <row r="44" spans="1:9" ht="15" customHeight="1" x14ac:dyDescent="0.3">
      <c r="A44" t="s">
        <v>49</v>
      </c>
      <c r="B44" t="s">
        <v>77</v>
      </c>
      <c r="C44" t="s">
        <v>20</v>
      </c>
      <c r="D44" t="s">
        <v>45</v>
      </c>
      <c r="E44">
        <v>556.41999999999996</v>
      </c>
      <c r="F44">
        <v>11</v>
      </c>
      <c r="G44">
        <v>0.15</v>
      </c>
      <c r="H44" t="s">
        <v>88</v>
      </c>
      <c r="I44">
        <v>212.83</v>
      </c>
    </row>
    <row r="45" spans="1:9" ht="15" customHeight="1" x14ac:dyDescent="0.3">
      <c r="A45" t="s">
        <v>79</v>
      </c>
      <c r="B45" t="s">
        <v>26</v>
      </c>
      <c r="C45" t="s">
        <v>40</v>
      </c>
      <c r="D45" t="s">
        <v>12</v>
      </c>
      <c r="E45">
        <v>840.85</v>
      </c>
      <c r="F45">
        <v>19</v>
      </c>
      <c r="G45">
        <v>0.1</v>
      </c>
      <c r="H45" t="s">
        <v>89</v>
      </c>
      <c r="I45">
        <v>302.70999999999998</v>
      </c>
    </row>
    <row r="46" spans="1:9" ht="15" customHeight="1" x14ac:dyDescent="0.3">
      <c r="A46" t="s">
        <v>35</v>
      </c>
      <c r="B46" t="s">
        <v>85</v>
      </c>
      <c r="C46" t="s">
        <v>27</v>
      </c>
      <c r="D46" t="s">
        <v>31</v>
      </c>
      <c r="E46">
        <v>1227.25</v>
      </c>
      <c r="F46">
        <v>12</v>
      </c>
      <c r="G46">
        <v>0.15</v>
      </c>
      <c r="H46" t="s">
        <v>89</v>
      </c>
      <c r="I46">
        <v>365.11</v>
      </c>
    </row>
    <row r="47" spans="1:9" ht="15" customHeight="1" x14ac:dyDescent="0.3">
      <c r="A47" t="s">
        <v>18</v>
      </c>
      <c r="B47" t="s">
        <v>90</v>
      </c>
      <c r="C47" t="s">
        <v>40</v>
      </c>
      <c r="D47" t="s">
        <v>24</v>
      </c>
      <c r="E47">
        <v>856.7</v>
      </c>
      <c r="F47">
        <v>2</v>
      </c>
      <c r="G47">
        <v>0</v>
      </c>
      <c r="H47" t="s">
        <v>91</v>
      </c>
      <c r="I47">
        <v>214.18</v>
      </c>
    </row>
    <row r="48" spans="1:9" ht="15" customHeight="1" x14ac:dyDescent="0.3">
      <c r="A48" t="s">
        <v>74</v>
      </c>
      <c r="B48" t="s">
        <v>77</v>
      </c>
      <c r="C48" t="s">
        <v>40</v>
      </c>
      <c r="D48" t="s">
        <v>45</v>
      </c>
      <c r="E48">
        <v>1225.42</v>
      </c>
      <c r="F48">
        <v>8</v>
      </c>
      <c r="G48">
        <v>0.15</v>
      </c>
      <c r="H48" t="s">
        <v>91</v>
      </c>
      <c r="I48">
        <v>468.72</v>
      </c>
    </row>
    <row r="49" spans="1:9" ht="15" customHeight="1" x14ac:dyDescent="0.3">
      <c r="A49" t="s">
        <v>92</v>
      </c>
      <c r="B49" t="s">
        <v>36</v>
      </c>
      <c r="C49" t="s">
        <v>27</v>
      </c>
      <c r="D49" t="s">
        <v>45</v>
      </c>
      <c r="E49">
        <v>1001.57</v>
      </c>
      <c r="F49">
        <v>12</v>
      </c>
      <c r="G49">
        <v>0</v>
      </c>
      <c r="H49" t="s">
        <v>93</v>
      </c>
      <c r="I49">
        <v>450.71</v>
      </c>
    </row>
    <row r="50" spans="1:9" ht="15" customHeight="1" x14ac:dyDescent="0.3">
      <c r="A50" t="s">
        <v>79</v>
      </c>
      <c r="B50" t="s">
        <v>30</v>
      </c>
      <c r="C50" t="s">
        <v>20</v>
      </c>
      <c r="D50" t="s">
        <v>31</v>
      </c>
      <c r="E50">
        <v>1186.8499999999999</v>
      </c>
      <c r="F50">
        <v>19</v>
      </c>
      <c r="G50">
        <v>0.2</v>
      </c>
      <c r="H50" t="s">
        <v>94</v>
      </c>
      <c r="I50">
        <v>332.32</v>
      </c>
    </row>
    <row r="51" spans="1:9" ht="15" customHeight="1" x14ac:dyDescent="0.3">
      <c r="A51" t="s">
        <v>55</v>
      </c>
      <c r="B51" t="s">
        <v>68</v>
      </c>
      <c r="C51" t="s">
        <v>23</v>
      </c>
      <c r="D51" t="s">
        <v>24</v>
      </c>
      <c r="E51">
        <v>775.45</v>
      </c>
      <c r="F51">
        <v>6</v>
      </c>
      <c r="G51">
        <v>0.1</v>
      </c>
      <c r="H51" t="s">
        <v>95</v>
      </c>
      <c r="I51">
        <v>174.48</v>
      </c>
    </row>
    <row r="52" spans="1:9" ht="15" customHeight="1" x14ac:dyDescent="0.3">
      <c r="A52" t="s">
        <v>29</v>
      </c>
      <c r="B52" t="s">
        <v>39</v>
      </c>
      <c r="C52" t="s">
        <v>23</v>
      </c>
      <c r="D52" t="s">
        <v>24</v>
      </c>
      <c r="E52">
        <v>1021.47</v>
      </c>
      <c r="F52">
        <v>6</v>
      </c>
      <c r="G52">
        <v>0.05</v>
      </c>
      <c r="H52" t="s">
        <v>96</v>
      </c>
      <c r="I52">
        <v>242.6</v>
      </c>
    </row>
    <row r="53" spans="1:9" ht="15" customHeight="1" x14ac:dyDescent="0.3">
      <c r="A53" t="s">
        <v>81</v>
      </c>
      <c r="B53" t="s">
        <v>26</v>
      </c>
      <c r="C53" t="s">
        <v>23</v>
      </c>
      <c r="D53" t="s">
        <v>16</v>
      </c>
      <c r="E53">
        <v>1226.6199999999999</v>
      </c>
      <c r="F53">
        <v>7</v>
      </c>
      <c r="G53">
        <v>0.1</v>
      </c>
      <c r="H53" t="s">
        <v>97</v>
      </c>
      <c r="I53">
        <v>551.98</v>
      </c>
    </row>
    <row r="54" spans="1:9" ht="15" customHeight="1" x14ac:dyDescent="0.3">
      <c r="A54" t="s">
        <v>25</v>
      </c>
      <c r="B54" t="s">
        <v>98</v>
      </c>
      <c r="C54" t="s">
        <v>23</v>
      </c>
      <c r="D54" t="s">
        <v>31</v>
      </c>
      <c r="E54">
        <v>1086.93</v>
      </c>
      <c r="F54">
        <v>2</v>
      </c>
      <c r="G54">
        <v>0</v>
      </c>
      <c r="H54" t="s">
        <v>99</v>
      </c>
      <c r="I54">
        <v>380.43</v>
      </c>
    </row>
    <row r="55" spans="1:9" ht="15" customHeight="1" x14ac:dyDescent="0.3">
      <c r="A55" t="s">
        <v>100</v>
      </c>
      <c r="B55" t="s">
        <v>62</v>
      </c>
      <c r="C55" t="s">
        <v>11</v>
      </c>
      <c r="D55" t="s">
        <v>12</v>
      </c>
      <c r="E55">
        <v>942.9</v>
      </c>
      <c r="F55">
        <v>18</v>
      </c>
      <c r="G55">
        <v>0.1</v>
      </c>
      <c r="H55" t="s">
        <v>101</v>
      </c>
      <c r="I55">
        <v>339.44</v>
      </c>
    </row>
    <row r="56" spans="1:9" ht="15" customHeight="1" x14ac:dyDescent="0.3">
      <c r="A56" t="s">
        <v>38</v>
      </c>
      <c r="B56" t="s">
        <v>44</v>
      </c>
      <c r="C56" t="s">
        <v>27</v>
      </c>
      <c r="D56" t="s">
        <v>24</v>
      </c>
      <c r="E56">
        <v>818.8</v>
      </c>
      <c r="F56">
        <v>15</v>
      </c>
      <c r="G56">
        <v>0.15</v>
      </c>
      <c r="H56" t="s">
        <v>102</v>
      </c>
      <c r="I56">
        <v>173.99</v>
      </c>
    </row>
    <row r="57" spans="1:9" ht="15" customHeight="1" x14ac:dyDescent="0.3">
      <c r="A57" t="s">
        <v>22</v>
      </c>
      <c r="B57" t="s">
        <v>15</v>
      </c>
      <c r="C57" t="s">
        <v>23</v>
      </c>
      <c r="D57" t="s">
        <v>31</v>
      </c>
      <c r="E57">
        <v>919.04</v>
      </c>
      <c r="F57">
        <v>10</v>
      </c>
      <c r="G57">
        <v>0.2</v>
      </c>
      <c r="H57" t="s">
        <v>102</v>
      </c>
      <c r="I57">
        <v>257.33</v>
      </c>
    </row>
    <row r="58" spans="1:9" ht="15" customHeight="1" x14ac:dyDescent="0.3">
      <c r="A58" t="s">
        <v>25</v>
      </c>
      <c r="B58" t="s">
        <v>103</v>
      </c>
      <c r="C58" t="s">
        <v>40</v>
      </c>
      <c r="D58" t="s">
        <v>12</v>
      </c>
      <c r="E58">
        <v>973.26</v>
      </c>
      <c r="F58">
        <v>11</v>
      </c>
      <c r="G58">
        <v>0</v>
      </c>
      <c r="H58" t="s">
        <v>104</v>
      </c>
      <c r="I58">
        <v>389.3</v>
      </c>
    </row>
    <row r="59" spans="1:9" ht="15" customHeight="1" x14ac:dyDescent="0.3">
      <c r="A59" t="s">
        <v>50</v>
      </c>
      <c r="B59" t="s">
        <v>98</v>
      </c>
      <c r="C59" t="s">
        <v>27</v>
      </c>
      <c r="D59" t="s">
        <v>24</v>
      </c>
      <c r="E59">
        <v>741.61</v>
      </c>
      <c r="F59">
        <v>1</v>
      </c>
      <c r="G59">
        <v>0.2</v>
      </c>
      <c r="H59" t="s">
        <v>105</v>
      </c>
      <c r="I59">
        <v>148.32</v>
      </c>
    </row>
    <row r="60" spans="1:9" ht="15" customHeight="1" x14ac:dyDescent="0.3">
      <c r="A60" t="s">
        <v>106</v>
      </c>
      <c r="B60" t="s">
        <v>44</v>
      </c>
      <c r="C60" t="s">
        <v>27</v>
      </c>
      <c r="D60" t="s">
        <v>12</v>
      </c>
      <c r="E60">
        <v>1248.82</v>
      </c>
      <c r="F60">
        <v>2</v>
      </c>
      <c r="G60">
        <v>0.1</v>
      </c>
      <c r="H60" t="s">
        <v>107</v>
      </c>
      <c r="I60">
        <v>449.58</v>
      </c>
    </row>
    <row r="61" spans="1:9" ht="15" customHeight="1" x14ac:dyDescent="0.3">
      <c r="A61" t="s">
        <v>14</v>
      </c>
      <c r="B61" t="s">
        <v>83</v>
      </c>
      <c r="C61" t="s">
        <v>11</v>
      </c>
      <c r="D61" t="s">
        <v>16</v>
      </c>
      <c r="E61">
        <v>1360.36</v>
      </c>
      <c r="F61">
        <v>17</v>
      </c>
      <c r="G61">
        <v>0</v>
      </c>
      <c r="H61" t="s">
        <v>107</v>
      </c>
      <c r="I61">
        <v>680.18</v>
      </c>
    </row>
    <row r="62" spans="1:9" ht="15" customHeight="1" x14ac:dyDescent="0.3">
      <c r="A62" t="s">
        <v>79</v>
      </c>
      <c r="B62" t="s">
        <v>36</v>
      </c>
      <c r="C62" t="s">
        <v>20</v>
      </c>
      <c r="D62" t="s">
        <v>12</v>
      </c>
      <c r="E62">
        <v>1383.3</v>
      </c>
      <c r="F62">
        <v>8</v>
      </c>
      <c r="G62">
        <v>0.1</v>
      </c>
      <c r="H62" t="s">
        <v>108</v>
      </c>
      <c r="I62">
        <v>497.99</v>
      </c>
    </row>
    <row r="63" spans="1:9" ht="15" customHeight="1" x14ac:dyDescent="0.3">
      <c r="A63" t="s">
        <v>41</v>
      </c>
      <c r="B63" t="s">
        <v>75</v>
      </c>
      <c r="C63" t="s">
        <v>40</v>
      </c>
      <c r="D63" t="s">
        <v>45</v>
      </c>
      <c r="E63">
        <v>488.99</v>
      </c>
      <c r="F63">
        <v>9</v>
      </c>
      <c r="G63">
        <v>0</v>
      </c>
      <c r="H63" t="s">
        <v>109</v>
      </c>
      <c r="I63">
        <v>220.05</v>
      </c>
    </row>
    <row r="64" spans="1:9" ht="15" customHeight="1" x14ac:dyDescent="0.3">
      <c r="A64" t="s">
        <v>35</v>
      </c>
      <c r="B64" t="s">
        <v>36</v>
      </c>
      <c r="C64" t="s">
        <v>20</v>
      </c>
      <c r="D64" t="s">
        <v>31</v>
      </c>
      <c r="E64">
        <v>933.71</v>
      </c>
      <c r="F64">
        <v>17</v>
      </c>
      <c r="G64">
        <v>0.1</v>
      </c>
      <c r="H64" t="s">
        <v>110</v>
      </c>
      <c r="I64">
        <v>294.12</v>
      </c>
    </row>
    <row r="65" spans="1:9" ht="15" customHeight="1" x14ac:dyDescent="0.3">
      <c r="A65" t="s">
        <v>106</v>
      </c>
      <c r="B65" t="s">
        <v>10</v>
      </c>
      <c r="C65" t="s">
        <v>11</v>
      </c>
      <c r="D65" t="s">
        <v>24</v>
      </c>
      <c r="E65">
        <v>1005.53</v>
      </c>
      <c r="F65">
        <v>17</v>
      </c>
      <c r="G65">
        <v>0.2</v>
      </c>
      <c r="H65" t="s">
        <v>110</v>
      </c>
      <c r="I65">
        <v>201.11</v>
      </c>
    </row>
    <row r="66" spans="1:9" ht="15" customHeight="1" x14ac:dyDescent="0.3">
      <c r="A66" t="s">
        <v>50</v>
      </c>
      <c r="B66" t="s">
        <v>85</v>
      </c>
      <c r="C66" t="s">
        <v>23</v>
      </c>
      <c r="D66" t="s">
        <v>24</v>
      </c>
      <c r="E66">
        <v>1100.0999999999999</v>
      </c>
      <c r="F66">
        <v>5</v>
      </c>
      <c r="G66">
        <v>0.05</v>
      </c>
      <c r="H66" t="s">
        <v>111</v>
      </c>
      <c r="I66">
        <v>261.27</v>
      </c>
    </row>
    <row r="67" spans="1:9" ht="15" customHeight="1" x14ac:dyDescent="0.3">
      <c r="A67" t="s">
        <v>106</v>
      </c>
      <c r="B67" t="s">
        <v>26</v>
      </c>
      <c r="C67" t="s">
        <v>27</v>
      </c>
      <c r="D67" t="s">
        <v>31</v>
      </c>
      <c r="E67">
        <v>1034.7</v>
      </c>
      <c r="F67">
        <v>15</v>
      </c>
      <c r="G67">
        <v>0.15</v>
      </c>
      <c r="H67" t="s">
        <v>112</v>
      </c>
      <c r="I67">
        <v>307.82</v>
      </c>
    </row>
    <row r="68" spans="1:9" ht="15" customHeight="1" x14ac:dyDescent="0.3">
      <c r="A68" t="s">
        <v>100</v>
      </c>
      <c r="B68" t="s">
        <v>36</v>
      </c>
      <c r="C68" t="s">
        <v>23</v>
      </c>
      <c r="D68" t="s">
        <v>12</v>
      </c>
      <c r="E68">
        <v>876.44</v>
      </c>
      <c r="F68">
        <v>12</v>
      </c>
      <c r="G68">
        <v>0.05</v>
      </c>
      <c r="H68" t="s">
        <v>113</v>
      </c>
      <c r="I68">
        <v>333.05</v>
      </c>
    </row>
    <row r="69" spans="1:9" ht="15" customHeight="1" x14ac:dyDescent="0.3">
      <c r="A69" t="s">
        <v>114</v>
      </c>
      <c r="B69" t="s">
        <v>75</v>
      </c>
      <c r="C69" t="s">
        <v>11</v>
      </c>
      <c r="D69" t="s">
        <v>31</v>
      </c>
      <c r="E69">
        <v>1371.34</v>
      </c>
      <c r="F69">
        <v>5</v>
      </c>
      <c r="G69">
        <v>0.05</v>
      </c>
      <c r="H69" t="s">
        <v>113</v>
      </c>
      <c r="I69">
        <v>455.97</v>
      </c>
    </row>
    <row r="70" spans="1:9" ht="15" customHeight="1" x14ac:dyDescent="0.3">
      <c r="A70" t="s">
        <v>79</v>
      </c>
      <c r="B70" t="s">
        <v>59</v>
      </c>
      <c r="C70" t="s">
        <v>27</v>
      </c>
      <c r="D70" t="s">
        <v>24</v>
      </c>
      <c r="E70">
        <v>1020.26</v>
      </c>
      <c r="F70">
        <v>11</v>
      </c>
      <c r="G70">
        <v>0.05</v>
      </c>
      <c r="H70" t="s">
        <v>115</v>
      </c>
      <c r="I70">
        <v>242.31</v>
      </c>
    </row>
    <row r="71" spans="1:9" ht="15" customHeight="1" x14ac:dyDescent="0.3">
      <c r="A71" t="s">
        <v>55</v>
      </c>
      <c r="B71" t="s">
        <v>10</v>
      </c>
      <c r="C71" t="s">
        <v>40</v>
      </c>
      <c r="D71" t="s">
        <v>45</v>
      </c>
      <c r="E71">
        <v>804.81</v>
      </c>
      <c r="F71">
        <v>1</v>
      </c>
      <c r="G71">
        <v>0.05</v>
      </c>
      <c r="H71" t="s">
        <v>116</v>
      </c>
      <c r="I71">
        <v>344.06</v>
      </c>
    </row>
    <row r="72" spans="1:9" ht="15" customHeight="1" x14ac:dyDescent="0.3">
      <c r="A72" t="s">
        <v>25</v>
      </c>
      <c r="B72" t="s">
        <v>75</v>
      </c>
      <c r="C72" t="s">
        <v>40</v>
      </c>
      <c r="D72" t="s">
        <v>24</v>
      </c>
      <c r="E72">
        <v>608.66</v>
      </c>
      <c r="F72">
        <v>1</v>
      </c>
      <c r="G72">
        <v>0.05</v>
      </c>
      <c r="H72" t="s">
        <v>117</v>
      </c>
      <c r="I72">
        <v>144.56</v>
      </c>
    </row>
    <row r="73" spans="1:9" ht="15" customHeight="1" x14ac:dyDescent="0.3">
      <c r="A73" t="s">
        <v>114</v>
      </c>
      <c r="B73" t="s">
        <v>118</v>
      </c>
      <c r="C73" t="s">
        <v>23</v>
      </c>
      <c r="D73" t="s">
        <v>45</v>
      </c>
      <c r="E73">
        <v>981.2</v>
      </c>
      <c r="F73">
        <v>19</v>
      </c>
      <c r="G73">
        <v>0</v>
      </c>
      <c r="H73" t="s">
        <v>119</v>
      </c>
      <c r="I73">
        <v>441.54</v>
      </c>
    </row>
    <row r="74" spans="1:9" ht="15" customHeight="1" x14ac:dyDescent="0.3">
      <c r="A74" t="s">
        <v>120</v>
      </c>
      <c r="B74" t="s">
        <v>75</v>
      </c>
      <c r="C74" t="s">
        <v>20</v>
      </c>
      <c r="D74" t="s">
        <v>24</v>
      </c>
      <c r="E74">
        <v>539.77</v>
      </c>
      <c r="F74">
        <v>10</v>
      </c>
      <c r="G74">
        <v>0.15</v>
      </c>
      <c r="H74" t="s">
        <v>121</v>
      </c>
      <c r="I74">
        <v>114.7</v>
      </c>
    </row>
    <row r="75" spans="1:9" ht="15" customHeight="1" x14ac:dyDescent="0.3">
      <c r="A75" t="s">
        <v>14</v>
      </c>
      <c r="B75" t="s">
        <v>122</v>
      </c>
      <c r="C75" t="s">
        <v>23</v>
      </c>
      <c r="D75" t="s">
        <v>12</v>
      </c>
      <c r="E75">
        <v>804.45</v>
      </c>
      <c r="F75">
        <v>5</v>
      </c>
      <c r="G75">
        <v>0.2</v>
      </c>
      <c r="H75" t="s">
        <v>121</v>
      </c>
      <c r="I75">
        <v>257.42</v>
      </c>
    </row>
    <row r="76" spans="1:9" ht="15" customHeight="1" x14ac:dyDescent="0.3">
      <c r="A76" t="s">
        <v>120</v>
      </c>
      <c r="B76" t="s">
        <v>44</v>
      </c>
      <c r="C76" t="s">
        <v>11</v>
      </c>
      <c r="D76" t="s">
        <v>24</v>
      </c>
      <c r="E76">
        <v>1526.6</v>
      </c>
      <c r="F76">
        <v>13</v>
      </c>
      <c r="G76">
        <v>0.2</v>
      </c>
      <c r="H76" t="s">
        <v>123</v>
      </c>
      <c r="I76">
        <v>305.32</v>
      </c>
    </row>
    <row r="77" spans="1:9" ht="15" customHeight="1" x14ac:dyDescent="0.3">
      <c r="A77" t="s">
        <v>14</v>
      </c>
      <c r="B77" t="s">
        <v>34</v>
      </c>
      <c r="C77" t="s">
        <v>11</v>
      </c>
      <c r="D77" t="s">
        <v>24</v>
      </c>
      <c r="E77">
        <v>1215.26</v>
      </c>
      <c r="F77">
        <v>5</v>
      </c>
      <c r="G77">
        <v>0.15</v>
      </c>
      <c r="H77" t="s">
        <v>124</v>
      </c>
      <c r="I77">
        <v>258.24</v>
      </c>
    </row>
    <row r="78" spans="1:9" ht="15" customHeight="1" x14ac:dyDescent="0.3">
      <c r="A78" t="s">
        <v>22</v>
      </c>
      <c r="B78" t="s">
        <v>72</v>
      </c>
      <c r="C78" t="s">
        <v>40</v>
      </c>
      <c r="D78" t="s">
        <v>31</v>
      </c>
      <c r="E78">
        <v>1261.3399999999999</v>
      </c>
      <c r="F78">
        <v>3</v>
      </c>
      <c r="G78">
        <v>0</v>
      </c>
      <c r="H78" t="s">
        <v>125</v>
      </c>
      <c r="I78">
        <v>441.47</v>
      </c>
    </row>
    <row r="79" spans="1:9" ht="15" customHeight="1" x14ac:dyDescent="0.3">
      <c r="A79" t="s">
        <v>126</v>
      </c>
      <c r="B79" t="s">
        <v>57</v>
      </c>
      <c r="C79" t="s">
        <v>27</v>
      </c>
      <c r="D79" t="s">
        <v>31</v>
      </c>
      <c r="E79">
        <v>518.07000000000005</v>
      </c>
      <c r="F79">
        <v>7</v>
      </c>
      <c r="G79">
        <v>0.05</v>
      </c>
      <c r="H79" t="s">
        <v>127</v>
      </c>
      <c r="I79">
        <v>172.26</v>
      </c>
    </row>
    <row r="80" spans="1:9" ht="15" customHeight="1" x14ac:dyDescent="0.3">
      <c r="A80" t="s">
        <v>35</v>
      </c>
      <c r="B80" t="s">
        <v>34</v>
      </c>
      <c r="C80" t="s">
        <v>11</v>
      </c>
      <c r="D80" t="s">
        <v>45</v>
      </c>
      <c r="E80">
        <v>1111.3399999999999</v>
      </c>
      <c r="F80">
        <v>1</v>
      </c>
      <c r="G80">
        <v>0</v>
      </c>
      <c r="H80" t="s">
        <v>128</v>
      </c>
      <c r="I80">
        <v>500.1</v>
      </c>
    </row>
    <row r="81" spans="1:9" ht="15" customHeight="1" x14ac:dyDescent="0.3">
      <c r="A81" t="s">
        <v>25</v>
      </c>
      <c r="B81" t="s">
        <v>36</v>
      </c>
      <c r="C81" t="s">
        <v>20</v>
      </c>
      <c r="D81" t="s">
        <v>16</v>
      </c>
      <c r="E81">
        <v>1291.47</v>
      </c>
      <c r="F81">
        <v>18</v>
      </c>
      <c r="G81">
        <v>0.1</v>
      </c>
      <c r="H81" t="s">
        <v>129</v>
      </c>
      <c r="I81">
        <v>581.16</v>
      </c>
    </row>
    <row r="82" spans="1:9" ht="15" customHeight="1" x14ac:dyDescent="0.3">
      <c r="A82" t="s">
        <v>29</v>
      </c>
      <c r="B82" t="s">
        <v>75</v>
      </c>
      <c r="C82" t="s">
        <v>27</v>
      </c>
      <c r="D82" t="s">
        <v>12</v>
      </c>
      <c r="E82">
        <v>679.71</v>
      </c>
      <c r="F82">
        <v>19</v>
      </c>
      <c r="G82">
        <v>0</v>
      </c>
      <c r="H82" t="s">
        <v>130</v>
      </c>
      <c r="I82">
        <v>271.88</v>
      </c>
    </row>
    <row r="83" spans="1:9" ht="15" customHeight="1" x14ac:dyDescent="0.3">
      <c r="A83" t="s">
        <v>114</v>
      </c>
      <c r="B83" t="s">
        <v>39</v>
      </c>
      <c r="C83" t="s">
        <v>20</v>
      </c>
      <c r="D83" t="s">
        <v>31</v>
      </c>
      <c r="E83">
        <v>1143.69</v>
      </c>
      <c r="F83">
        <v>17</v>
      </c>
      <c r="G83">
        <v>0</v>
      </c>
      <c r="H83" t="s">
        <v>130</v>
      </c>
      <c r="I83">
        <v>400.29</v>
      </c>
    </row>
    <row r="84" spans="1:9" ht="15" customHeight="1" x14ac:dyDescent="0.3">
      <c r="A84" t="s">
        <v>71</v>
      </c>
      <c r="B84" t="s">
        <v>67</v>
      </c>
      <c r="C84" t="s">
        <v>40</v>
      </c>
      <c r="D84" t="s">
        <v>24</v>
      </c>
      <c r="E84">
        <v>790.08</v>
      </c>
      <c r="F84">
        <v>7</v>
      </c>
      <c r="G84">
        <v>0.1</v>
      </c>
      <c r="H84" t="s">
        <v>131</v>
      </c>
      <c r="I84">
        <v>177.77</v>
      </c>
    </row>
    <row r="85" spans="1:9" ht="15" customHeight="1" x14ac:dyDescent="0.3">
      <c r="A85" t="s">
        <v>22</v>
      </c>
      <c r="B85" t="s">
        <v>62</v>
      </c>
      <c r="C85" t="s">
        <v>40</v>
      </c>
      <c r="D85" t="s">
        <v>12</v>
      </c>
      <c r="E85">
        <v>1070.68</v>
      </c>
      <c r="F85">
        <v>7</v>
      </c>
      <c r="G85">
        <v>0.05</v>
      </c>
      <c r="H85" t="s">
        <v>131</v>
      </c>
      <c r="I85">
        <v>406.86</v>
      </c>
    </row>
    <row r="86" spans="1:9" ht="15" customHeight="1" x14ac:dyDescent="0.3">
      <c r="A86" t="s">
        <v>81</v>
      </c>
      <c r="B86" t="s">
        <v>42</v>
      </c>
      <c r="C86" t="s">
        <v>11</v>
      </c>
      <c r="D86" t="s">
        <v>16</v>
      </c>
      <c r="E86">
        <v>1168.8900000000001</v>
      </c>
      <c r="F86">
        <v>4</v>
      </c>
      <c r="G86">
        <v>0.1</v>
      </c>
      <c r="H86" t="s">
        <v>132</v>
      </c>
      <c r="I86">
        <v>526</v>
      </c>
    </row>
    <row r="87" spans="1:9" ht="15" customHeight="1" x14ac:dyDescent="0.3">
      <c r="A87" t="s">
        <v>106</v>
      </c>
      <c r="B87" t="s">
        <v>10</v>
      </c>
      <c r="C87" t="s">
        <v>23</v>
      </c>
      <c r="D87" t="s">
        <v>24</v>
      </c>
      <c r="E87">
        <v>1335.87</v>
      </c>
      <c r="F87">
        <v>17</v>
      </c>
      <c r="G87">
        <v>0</v>
      </c>
      <c r="H87" t="s">
        <v>132</v>
      </c>
      <c r="I87">
        <v>333.97</v>
      </c>
    </row>
    <row r="88" spans="1:9" ht="15" customHeight="1" x14ac:dyDescent="0.3">
      <c r="A88" t="s">
        <v>49</v>
      </c>
      <c r="B88" t="s">
        <v>75</v>
      </c>
      <c r="C88" t="s">
        <v>20</v>
      </c>
      <c r="D88" t="s">
        <v>31</v>
      </c>
      <c r="E88">
        <v>873.7</v>
      </c>
      <c r="F88">
        <v>9</v>
      </c>
      <c r="G88">
        <v>0</v>
      </c>
      <c r="H88" t="s">
        <v>133</v>
      </c>
      <c r="I88">
        <v>305.8</v>
      </c>
    </row>
    <row r="89" spans="1:9" ht="15" customHeight="1" x14ac:dyDescent="0.3">
      <c r="A89" t="s">
        <v>126</v>
      </c>
      <c r="B89" t="s">
        <v>98</v>
      </c>
      <c r="C89" t="s">
        <v>11</v>
      </c>
      <c r="D89" t="s">
        <v>45</v>
      </c>
      <c r="E89">
        <v>1443.98</v>
      </c>
      <c r="F89">
        <v>19</v>
      </c>
      <c r="G89">
        <v>0</v>
      </c>
      <c r="H89" t="s">
        <v>134</v>
      </c>
      <c r="I89">
        <v>649.79</v>
      </c>
    </row>
    <row r="90" spans="1:9" ht="15" customHeight="1" x14ac:dyDescent="0.3">
      <c r="A90" t="s">
        <v>49</v>
      </c>
      <c r="B90" t="s">
        <v>26</v>
      </c>
      <c r="C90" t="s">
        <v>20</v>
      </c>
      <c r="D90" t="s">
        <v>45</v>
      </c>
      <c r="E90">
        <v>1154.33</v>
      </c>
      <c r="F90">
        <v>11</v>
      </c>
      <c r="G90">
        <v>0.15</v>
      </c>
      <c r="H90" t="s">
        <v>135</v>
      </c>
      <c r="I90">
        <v>441.53</v>
      </c>
    </row>
    <row r="91" spans="1:9" ht="15" customHeight="1" x14ac:dyDescent="0.3">
      <c r="A91" t="s">
        <v>64</v>
      </c>
      <c r="B91" t="s">
        <v>67</v>
      </c>
      <c r="C91" t="s">
        <v>23</v>
      </c>
      <c r="D91" t="s">
        <v>12</v>
      </c>
      <c r="E91">
        <v>1264.49</v>
      </c>
      <c r="F91">
        <v>16</v>
      </c>
      <c r="G91">
        <v>0.05</v>
      </c>
      <c r="H91" t="s">
        <v>135</v>
      </c>
      <c r="I91">
        <v>480.51</v>
      </c>
    </row>
    <row r="92" spans="1:9" ht="15" customHeight="1" x14ac:dyDescent="0.3">
      <c r="A92" t="s">
        <v>29</v>
      </c>
      <c r="B92" t="s">
        <v>103</v>
      </c>
      <c r="C92" t="s">
        <v>11</v>
      </c>
      <c r="D92" t="s">
        <v>31</v>
      </c>
      <c r="E92">
        <v>1101.55</v>
      </c>
      <c r="F92">
        <v>4</v>
      </c>
      <c r="G92">
        <v>0.1</v>
      </c>
      <c r="H92" t="s">
        <v>136</v>
      </c>
      <c r="I92">
        <v>346.99</v>
      </c>
    </row>
    <row r="93" spans="1:9" ht="15" customHeight="1" x14ac:dyDescent="0.3">
      <c r="A93" t="s">
        <v>137</v>
      </c>
      <c r="B93" t="s">
        <v>15</v>
      </c>
      <c r="C93" t="s">
        <v>23</v>
      </c>
      <c r="D93" t="s">
        <v>31</v>
      </c>
      <c r="E93">
        <v>727.73</v>
      </c>
      <c r="F93">
        <v>1</v>
      </c>
      <c r="G93">
        <v>0.1</v>
      </c>
      <c r="H93" t="s">
        <v>138</v>
      </c>
      <c r="I93">
        <v>229.23</v>
      </c>
    </row>
    <row r="94" spans="1:9" ht="15" customHeight="1" x14ac:dyDescent="0.3">
      <c r="A94" t="s">
        <v>139</v>
      </c>
      <c r="B94" t="s">
        <v>44</v>
      </c>
      <c r="C94" t="s">
        <v>20</v>
      </c>
      <c r="D94" t="s">
        <v>45</v>
      </c>
      <c r="E94">
        <v>875.41</v>
      </c>
      <c r="F94">
        <v>13</v>
      </c>
      <c r="G94">
        <v>0.15</v>
      </c>
      <c r="H94" t="s">
        <v>138</v>
      </c>
      <c r="I94">
        <v>334.84</v>
      </c>
    </row>
    <row r="95" spans="1:9" ht="15" customHeight="1" x14ac:dyDescent="0.3">
      <c r="A95" t="s">
        <v>106</v>
      </c>
      <c r="B95" t="s">
        <v>26</v>
      </c>
      <c r="C95" t="s">
        <v>11</v>
      </c>
      <c r="D95" t="s">
        <v>24</v>
      </c>
      <c r="E95">
        <v>1158.94</v>
      </c>
      <c r="F95">
        <v>19</v>
      </c>
      <c r="G95">
        <v>0.2</v>
      </c>
      <c r="H95" t="s">
        <v>140</v>
      </c>
      <c r="I95">
        <v>231.79</v>
      </c>
    </row>
    <row r="96" spans="1:9" ht="15" customHeight="1" x14ac:dyDescent="0.3">
      <c r="A96" t="s">
        <v>141</v>
      </c>
      <c r="B96" t="s">
        <v>59</v>
      </c>
      <c r="C96" t="s">
        <v>23</v>
      </c>
      <c r="D96" t="s">
        <v>12</v>
      </c>
      <c r="E96">
        <v>966.3</v>
      </c>
      <c r="F96">
        <v>2</v>
      </c>
      <c r="G96">
        <v>0.15</v>
      </c>
      <c r="H96" t="s">
        <v>142</v>
      </c>
      <c r="I96">
        <v>328.54</v>
      </c>
    </row>
    <row r="97" spans="1:9" ht="15" customHeight="1" x14ac:dyDescent="0.3">
      <c r="A97" t="s">
        <v>114</v>
      </c>
      <c r="B97" t="s">
        <v>19</v>
      </c>
      <c r="C97" t="s">
        <v>23</v>
      </c>
      <c r="D97" t="s">
        <v>12</v>
      </c>
      <c r="E97">
        <v>917.48</v>
      </c>
      <c r="F97">
        <v>6</v>
      </c>
      <c r="G97">
        <v>0</v>
      </c>
      <c r="H97" t="s">
        <v>143</v>
      </c>
      <c r="I97">
        <v>366.99</v>
      </c>
    </row>
    <row r="98" spans="1:9" ht="15" customHeight="1" x14ac:dyDescent="0.3">
      <c r="A98" t="s">
        <v>50</v>
      </c>
      <c r="B98" t="s">
        <v>85</v>
      </c>
      <c r="C98" t="s">
        <v>11</v>
      </c>
      <c r="D98" t="s">
        <v>31</v>
      </c>
      <c r="E98">
        <v>1172.97</v>
      </c>
      <c r="F98">
        <v>7</v>
      </c>
      <c r="G98">
        <v>0.15</v>
      </c>
      <c r="H98" t="s">
        <v>144</v>
      </c>
      <c r="I98">
        <v>348.96</v>
      </c>
    </row>
    <row r="99" spans="1:9" ht="15" customHeight="1" x14ac:dyDescent="0.3">
      <c r="A99" t="s">
        <v>79</v>
      </c>
      <c r="B99" t="s">
        <v>26</v>
      </c>
      <c r="C99" t="s">
        <v>27</v>
      </c>
      <c r="D99" t="s">
        <v>16</v>
      </c>
      <c r="E99">
        <v>1205.82</v>
      </c>
      <c r="F99">
        <v>11</v>
      </c>
      <c r="G99">
        <v>0.1</v>
      </c>
      <c r="H99" t="s">
        <v>144</v>
      </c>
      <c r="I99">
        <v>542.62</v>
      </c>
    </row>
    <row r="100" spans="1:9" ht="15" customHeight="1" x14ac:dyDescent="0.3">
      <c r="A100" t="s">
        <v>18</v>
      </c>
      <c r="B100" t="s">
        <v>98</v>
      </c>
      <c r="C100" t="s">
        <v>11</v>
      </c>
      <c r="D100" t="s">
        <v>45</v>
      </c>
      <c r="E100">
        <v>826.93</v>
      </c>
      <c r="F100">
        <v>10</v>
      </c>
      <c r="G100">
        <v>0.2</v>
      </c>
      <c r="H100" t="s">
        <v>145</v>
      </c>
      <c r="I100">
        <v>297.69</v>
      </c>
    </row>
    <row r="101" spans="1:9" ht="15" customHeight="1" x14ac:dyDescent="0.3">
      <c r="A101" t="s">
        <v>106</v>
      </c>
      <c r="B101" t="s">
        <v>26</v>
      </c>
      <c r="C101" t="s">
        <v>40</v>
      </c>
      <c r="D101" t="s">
        <v>16</v>
      </c>
      <c r="E101">
        <v>902.19</v>
      </c>
      <c r="F101">
        <v>12</v>
      </c>
      <c r="G101">
        <v>0</v>
      </c>
      <c r="H101" t="s">
        <v>145</v>
      </c>
      <c r="I101">
        <v>451.1</v>
      </c>
    </row>
    <row r="102" spans="1:9" ht="15" customHeight="1" x14ac:dyDescent="0.3">
      <c r="A102" t="s">
        <v>139</v>
      </c>
      <c r="B102" t="s">
        <v>44</v>
      </c>
      <c r="C102" t="s">
        <v>27</v>
      </c>
      <c r="D102" t="s">
        <v>12</v>
      </c>
      <c r="E102">
        <v>585.97</v>
      </c>
      <c r="F102">
        <v>17</v>
      </c>
      <c r="G102">
        <v>0.1</v>
      </c>
      <c r="H102" t="s">
        <v>146</v>
      </c>
      <c r="I102">
        <v>210.95</v>
      </c>
    </row>
    <row r="103" spans="1:9" ht="15" customHeight="1" x14ac:dyDescent="0.3">
      <c r="A103" t="s">
        <v>84</v>
      </c>
      <c r="B103" t="s">
        <v>30</v>
      </c>
      <c r="C103" t="s">
        <v>27</v>
      </c>
      <c r="D103" t="s">
        <v>16</v>
      </c>
      <c r="E103">
        <v>990.19</v>
      </c>
      <c r="F103">
        <v>8</v>
      </c>
      <c r="G103">
        <v>0.1</v>
      </c>
      <c r="H103" t="s">
        <v>146</v>
      </c>
      <c r="I103">
        <v>445.59</v>
      </c>
    </row>
    <row r="104" spans="1:9" ht="15" customHeight="1" x14ac:dyDescent="0.3">
      <c r="A104" t="s">
        <v>55</v>
      </c>
      <c r="B104" t="s">
        <v>77</v>
      </c>
      <c r="C104" t="s">
        <v>40</v>
      </c>
      <c r="D104" t="s">
        <v>24</v>
      </c>
      <c r="E104">
        <v>1014.09</v>
      </c>
      <c r="F104">
        <v>13</v>
      </c>
      <c r="G104">
        <v>0.2</v>
      </c>
      <c r="H104" t="s">
        <v>147</v>
      </c>
      <c r="I104">
        <v>202.82</v>
      </c>
    </row>
    <row r="105" spans="1:9" ht="15" customHeight="1" x14ac:dyDescent="0.3">
      <c r="A105" t="s">
        <v>14</v>
      </c>
      <c r="B105" t="s">
        <v>62</v>
      </c>
      <c r="C105" t="s">
        <v>27</v>
      </c>
      <c r="D105" t="s">
        <v>24</v>
      </c>
      <c r="E105">
        <v>925.29</v>
      </c>
      <c r="F105">
        <v>17</v>
      </c>
      <c r="G105">
        <v>0</v>
      </c>
      <c r="H105" t="s">
        <v>148</v>
      </c>
      <c r="I105">
        <v>231.32</v>
      </c>
    </row>
    <row r="106" spans="1:9" ht="15" customHeight="1" x14ac:dyDescent="0.3">
      <c r="A106" t="s">
        <v>74</v>
      </c>
      <c r="B106" t="s">
        <v>59</v>
      </c>
      <c r="C106" t="s">
        <v>20</v>
      </c>
      <c r="D106" t="s">
        <v>31</v>
      </c>
      <c r="E106">
        <v>1286.54</v>
      </c>
      <c r="F106">
        <v>8</v>
      </c>
      <c r="G106">
        <v>0</v>
      </c>
      <c r="H106" t="s">
        <v>149</v>
      </c>
      <c r="I106">
        <v>450.29</v>
      </c>
    </row>
    <row r="107" spans="1:9" ht="15" customHeight="1" x14ac:dyDescent="0.3">
      <c r="A107" t="s">
        <v>43</v>
      </c>
      <c r="B107" t="s">
        <v>98</v>
      </c>
      <c r="C107" t="s">
        <v>23</v>
      </c>
      <c r="D107" t="s">
        <v>12</v>
      </c>
      <c r="E107">
        <v>961.62</v>
      </c>
      <c r="F107">
        <v>8</v>
      </c>
      <c r="G107">
        <v>0.2</v>
      </c>
      <c r="H107" t="s">
        <v>150</v>
      </c>
      <c r="I107">
        <v>307.72000000000003</v>
      </c>
    </row>
    <row r="108" spans="1:9" ht="15" customHeight="1" x14ac:dyDescent="0.3">
      <c r="A108" t="s">
        <v>55</v>
      </c>
      <c r="B108" t="s">
        <v>26</v>
      </c>
      <c r="C108" t="s">
        <v>20</v>
      </c>
      <c r="D108" t="s">
        <v>12</v>
      </c>
      <c r="E108">
        <v>1081.1400000000001</v>
      </c>
      <c r="F108">
        <v>19</v>
      </c>
      <c r="G108">
        <v>0.15</v>
      </c>
      <c r="H108" t="s">
        <v>150</v>
      </c>
      <c r="I108">
        <v>367.59</v>
      </c>
    </row>
    <row r="109" spans="1:9" ht="15" customHeight="1" x14ac:dyDescent="0.3">
      <c r="A109" t="s">
        <v>81</v>
      </c>
      <c r="B109" t="s">
        <v>26</v>
      </c>
      <c r="C109" t="s">
        <v>11</v>
      </c>
      <c r="D109" t="s">
        <v>16</v>
      </c>
      <c r="E109">
        <v>1923.66</v>
      </c>
      <c r="F109">
        <v>9</v>
      </c>
      <c r="G109">
        <v>0.2</v>
      </c>
      <c r="H109" t="s">
        <v>151</v>
      </c>
      <c r="I109">
        <v>769.46</v>
      </c>
    </row>
    <row r="110" spans="1:9" ht="15" customHeight="1" x14ac:dyDescent="0.3">
      <c r="A110" t="s">
        <v>74</v>
      </c>
      <c r="B110" t="s">
        <v>103</v>
      </c>
      <c r="C110" t="s">
        <v>40</v>
      </c>
      <c r="D110" t="s">
        <v>16</v>
      </c>
      <c r="E110">
        <v>728.71</v>
      </c>
      <c r="F110">
        <v>14</v>
      </c>
      <c r="G110">
        <v>0.1</v>
      </c>
      <c r="H110" t="s">
        <v>152</v>
      </c>
      <c r="I110">
        <v>327.92</v>
      </c>
    </row>
    <row r="111" spans="1:9" ht="15" customHeight="1" x14ac:dyDescent="0.3">
      <c r="A111" t="s">
        <v>9</v>
      </c>
      <c r="B111" t="s">
        <v>39</v>
      </c>
      <c r="C111" t="s">
        <v>40</v>
      </c>
      <c r="D111" t="s">
        <v>16</v>
      </c>
      <c r="E111">
        <v>1301.8900000000001</v>
      </c>
      <c r="F111">
        <v>7</v>
      </c>
      <c r="G111">
        <v>0.15</v>
      </c>
      <c r="H111" t="s">
        <v>152</v>
      </c>
      <c r="I111">
        <v>553.29999999999995</v>
      </c>
    </row>
    <row r="112" spans="1:9" ht="15" customHeight="1" x14ac:dyDescent="0.3">
      <c r="A112" t="s">
        <v>120</v>
      </c>
      <c r="B112" t="s">
        <v>103</v>
      </c>
      <c r="C112" t="s">
        <v>20</v>
      </c>
      <c r="D112" t="s">
        <v>12</v>
      </c>
      <c r="E112">
        <v>980.18</v>
      </c>
      <c r="F112">
        <v>16</v>
      </c>
      <c r="G112">
        <v>0.1</v>
      </c>
      <c r="H112" t="s">
        <v>153</v>
      </c>
      <c r="I112">
        <v>352.86</v>
      </c>
    </row>
    <row r="113" spans="1:9" ht="15" customHeight="1" x14ac:dyDescent="0.3">
      <c r="A113" t="s">
        <v>139</v>
      </c>
      <c r="B113" t="s">
        <v>26</v>
      </c>
      <c r="C113" t="s">
        <v>11</v>
      </c>
      <c r="D113" t="s">
        <v>16</v>
      </c>
      <c r="E113">
        <v>697.57</v>
      </c>
      <c r="F113">
        <v>17</v>
      </c>
      <c r="G113">
        <v>0.1</v>
      </c>
      <c r="H113" t="s">
        <v>154</v>
      </c>
      <c r="I113">
        <v>313.91000000000003</v>
      </c>
    </row>
    <row r="114" spans="1:9" ht="15" customHeight="1" x14ac:dyDescent="0.3">
      <c r="A114" t="s">
        <v>58</v>
      </c>
      <c r="B114" t="s">
        <v>122</v>
      </c>
      <c r="C114" t="s">
        <v>11</v>
      </c>
      <c r="D114" t="s">
        <v>31</v>
      </c>
      <c r="E114">
        <v>1193.6099999999999</v>
      </c>
      <c r="F114">
        <v>1</v>
      </c>
      <c r="G114">
        <v>0.15</v>
      </c>
      <c r="H114" t="s">
        <v>154</v>
      </c>
      <c r="I114">
        <v>355.1</v>
      </c>
    </row>
    <row r="115" spans="1:9" ht="15" customHeight="1" x14ac:dyDescent="0.3">
      <c r="A115" t="s">
        <v>38</v>
      </c>
      <c r="B115" t="s">
        <v>44</v>
      </c>
      <c r="C115" t="s">
        <v>23</v>
      </c>
      <c r="D115" t="s">
        <v>24</v>
      </c>
      <c r="E115">
        <v>771.02</v>
      </c>
      <c r="F115">
        <v>1</v>
      </c>
      <c r="G115">
        <v>0</v>
      </c>
      <c r="H115" t="s">
        <v>155</v>
      </c>
      <c r="I115">
        <v>192.76</v>
      </c>
    </row>
    <row r="116" spans="1:9" ht="15" customHeight="1" x14ac:dyDescent="0.3">
      <c r="A116" t="s">
        <v>106</v>
      </c>
      <c r="B116" t="s">
        <v>118</v>
      </c>
      <c r="C116" t="s">
        <v>27</v>
      </c>
      <c r="D116" t="s">
        <v>16</v>
      </c>
      <c r="E116">
        <v>661.09</v>
      </c>
      <c r="F116">
        <v>1</v>
      </c>
      <c r="G116">
        <v>0.2</v>
      </c>
      <c r="H116" t="s">
        <v>156</v>
      </c>
      <c r="I116">
        <v>264.44</v>
      </c>
    </row>
    <row r="117" spans="1:9" ht="15" customHeight="1" x14ac:dyDescent="0.3">
      <c r="A117" t="s">
        <v>14</v>
      </c>
      <c r="B117" t="s">
        <v>75</v>
      </c>
      <c r="C117" t="s">
        <v>11</v>
      </c>
      <c r="D117" t="s">
        <v>24</v>
      </c>
      <c r="E117">
        <v>688.83</v>
      </c>
      <c r="F117">
        <v>15</v>
      </c>
      <c r="G117">
        <v>0</v>
      </c>
      <c r="H117" t="s">
        <v>157</v>
      </c>
      <c r="I117">
        <v>172.21</v>
      </c>
    </row>
    <row r="118" spans="1:9" ht="15" customHeight="1" x14ac:dyDescent="0.3">
      <c r="A118" t="s">
        <v>137</v>
      </c>
      <c r="B118" t="s">
        <v>34</v>
      </c>
      <c r="C118" t="s">
        <v>40</v>
      </c>
      <c r="D118" t="s">
        <v>12</v>
      </c>
      <c r="E118">
        <v>1249.0999999999999</v>
      </c>
      <c r="F118">
        <v>4</v>
      </c>
      <c r="G118">
        <v>0.05</v>
      </c>
      <c r="H118" t="s">
        <v>158</v>
      </c>
      <c r="I118">
        <v>474.66</v>
      </c>
    </row>
    <row r="119" spans="1:9" ht="15" customHeight="1" x14ac:dyDescent="0.3">
      <c r="A119" t="s">
        <v>55</v>
      </c>
      <c r="B119" t="s">
        <v>26</v>
      </c>
      <c r="C119" t="s">
        <v>20</v>
      </c>
      <c r="D119" t="s">
        <v>45</v>
      </c>
      <c r="E119">
        <v>1014.22</v>
      </c>
      <c r="F119">
        <v>14</v>
      </c>
      <c r="G119">
        <v>0.05</v>
      </c>
      <c r="H119" t="s">
        <v>159</v>
      </c>
      <c r="I119">
        <v>433.58</v>
      </c>
    </row>
    <row r="120" spans="1:9" ht="15" customHeight="1" x14ac:dyDescent="0.3">
      <c r="A120" t="s">
        <v>74</v>
      </c>
      <c r="B120" t="s">
        <v>62</v>
      </c>
      <c r="C120" t="s">
        <v>20</v>
      </c>
      <c r="D120" t="s">
        <v>12</v>
      </c>
      <c r="E120">
        <v>1010.58</v>
      </c>
      <c r="F120">
        <v>2</v>
      </c>
      <c r="G120">
        <v>0.15</v>
      </c>
      <c r="H120" t="s">
        <v>160</v>
      </c>
      <c r="I120">
        <v>343.6</v>
      </c>
    </row>
    <row r="121" spans="1:9" ht="15" customHeight="1" x14ac:dyDescent="0.3">
      <c r="A121" t="s">
        <v>35</v>
      </c>
      <c r="B121" t="s">
        <v>83</v>
      </c>
      <c r="C121" t="s">
        <v>27</v>
      </c>
      <c r="D121" t="s">
        <v>31</v>
      </c>
      <c r="E121">
        <v>957.29</v>
      </c>
      <c r="F121">
        <v>4</v>
      </c>
      <c r="G121">
        <v>0.05</v>
      </c>
      <c r="H121" t="s">
        <v>160</v>
      </c>
      <c r="I121">
        <v>318.3</v>
      </c>
    </row>
    <row r="122" spans="1:9" ht="15" customHeight="1" x14ac:dyDescent="0.3">
      <c r="A122" t="s">
        <v>33</v>
      </c>
      <c r="B122" t="s">
        <v>57</v>
      </c>
      <c r="C122" t="s">
        <v>27</v>
      </c>
      <c r="D122" t="s">
        <v>31</v>
      </c>
      <c r="E122">
        <v>1077.92</v>
      </c>
      <c r="F122">
        <v>3</v>
      </c>
      <c r="G122">
        <v>0.05</v>
      </c>
      <c r="H122" t="s">
        <v>161</v>
      </c>
      <c r="I122">
        <v>358.41</v>
      </c>
    </row>
    <row r="123" spans="1:9" ht="15" customHeight="1" x14ac:dyDescent="0.3">
      <c r="A123" t="s">
        <v>71</v>
      </c>
      <c r="B123" t="s">
        <v>67</v>
      </c>
      <c r="C123" t="s">
        <v>23</v>
      </c>
      <c r="D123" t="s">
        <v>16</v>
      </c>
      <c r="E123">
        <v>1163.01</v>
      </c>
      <c r="F123">
        <v>5</v>
      </c>
      <c r="G123">
        <v>0</v>
      </c>
      <c r="H123" t="s">
        <v>162</v>
      </c>
      <c r="I123">
        <v>581.5</v>
      </c>
    </row>
    <row r="124" spans="1:9" ht="15" customHeight="1" x14ac:dyDescent="0.3">
      <c r="A124" t="s">
        <v>74</v>
      </c>
      <c r="B124" t="s">
        <v>57</v>
      </c>
      <c r="C124" t="s">
        <v>20</v>
      </c>
      <c r="D124" t="s">
        <v>45</v>
      </c>
      <c r="E124">
        <v>1014.56</v>
      </c>
      <c r="F124">
        <v>10</v>
      </c>
      <c r="G124">
        <v>0.1</v>
      </c>
      <c r="H124" t="s">
        <v>163</v>
      </c>
      <c r="I124">
        <v>410.9</v>
      </c>
    </row>
    <row r="125" spans="1:9" ht="15" customHeight="1" x14ac:dyDescent="0.3">
      <c r="A125" t="s">
        <v>9</v>
      </c>
      <c r="B125" t="s">
        <v>19</v>
      </c>
      <c r="C125" t="s">
        <v>23</v>
      </c>
      <c r="D125" t="s">
        <v>24</v>
      </c>
      <c r="E125">
        <v>718.04</v>
      </c>
      <c r="F125">
        <v>14</v>
      </c>
      <c r="G125">
        <v>0</v>
      </c>
      <c r="H125" t="s">
        <v>164</v>
      </c>
      <c r="I125">
        <v>179.51</v>
      </c>
    </row>
    <row r="126" spans="1:9" ht="15" customHeight="1" x14ac:dyDescent="0.3">
      <c r="A126" t="s">
        <v>126</v>
      </c>
      <c r="B126" t="s">
        <v>19</v>
      </c>
      <c r="C126" t="s">
        <v>40</v>
      </c>
      <c r="D126" t="s">
        <v>16</v>
      </c>
      <c r="E126">
        <v>1277.8499999999999</v>
      </c>
      <c r="F126">
        <v>18</v>
      </c>
      <c r="G126">
        <v>0.2</v>
      </c>
      <c r="H126" t="s">
        <v>164</v>
      </c>
      <c r="I126">
        <v>511.14</v>
      </c>
    </row>
    <row r="127" spans="1:9" ht="15" customHeight="1" x14ac:dyDescent="0.3">
      <c r="A127" t="s">
        <v>120</v>
      </c>
      <c r="B127" t="s">
        <v>26</v>
      </c>
      <c r="C127" t="s">
        <v>27</v>
      </c>
      <c r="D127" t="s">
        <v>24</v>
      </c>
      <c r="E127">
        <v>706.73</v>
      </c>
      <c r="F127">
        <v>1</v>
      </c>
      <c r="G127">
        <v>0.15</v>
      </c>
      <c r="H127" t="s">
        <v>164</v>
      </c>
      <c r="I127">
        <v>150.18</v>
      </c>
    </row>
    <row r="128" spans="1:9" ht="15" customHeight="1" x14ac:dyDescent="0.3">
      <c r="A128" t="s">
        <v>100</v>
      </c>
      <c r="B128" t="s">
        <v>67</v>
      </c>
      <c r="C128" t="s">
        <v>20</v>
      </c>
      <c r="D128" t="s">
        <v>24</v>
      </c>
      <c r="E128">
        <v>1410.59</v>
      </c>
      <c r="F128">
        <v>15</v>
      </c>
      <c r="G128">
        <v>0</v>
      </c>
      <c r="H128" t="s">
        <v>165</v>
      </c>
      <c r="I128">
        <v>352.65</v>
      </c>
    </row>
    <row r="129" spans="1:9" ht="15" customHeight="1" x14ac:dyDescent="0.3">
      <c r="A129" t="s">
        <v>38</v>
      </c>
      <c r="B129" t="s">
        <v>85</v>
      </c>
      <c r="C129" t="s">
        <v>23</v>
      </c>
      <c r="D129" t="s">
        <v>31</v>
      </c>
      <c r="E129">
        <v>1350.33</v>
      </c>
      <c r="F129">
        <v>10</v>
      </c>
      <c r="G129">
        <v>0</v>
      </c>
      <c r="H129" t="s">
        <v>165</v>
      </c>
      <c r="I129">
        <v>472.62</v>
      </c>
    </row>
    <row r="130" spans="1:9" ht="15" customHeight="1" x14ac:dyDescent="0.3">
      <c r="A130" t="s">
        <v>50</v>
      </c>
      <c r="B130" t="s">
        <v>57</v>
      </c>
      <c r="C130" t="s">
        <v>20</v>
      </c>
      <c r="D130" t="s">
        <v>24</v>
      </c>
      <c r="E130">
        <v>919.18</v>
      </c>
      <c r="F130">
        <v>4</v>
      </c>
      <c r="G130">
        <v>0.15</v>
      </c>
      <c r="H130" t="s">
        <v>165</v>
      </c>
      <c r="I130">
        <v>195.33</v>
      </c>
    </row>
    <row r="131" spans="1:9" ht="15" customHeight="1" x14ac:dyDescent="0.3">
      <c r="A131" t="s">
        <v>139</v>
      </c>
      <c r="B131" t="s">
        <v>26</v>
      </c>
      <c r="C131" t="s">
        <v>11</v>
      </c>
      <c r="D131" t="s">
        <v>24</v>
      </c>
      <c r="E131">
        <v>258.51</v>
      </c>
      <c r="F131">
        <v>19</v>
      </c>
      <c r="G131">
        <v>0</v>
      </c>
      <c r="H131" t="s">
        <v>166</v>
      </c>
      <c r="I131">
        <v>64.63</v>
      </c>
    </row>
    <row r="132" spans="1:9" ht="15" customHeight="1" x14ac:dyDescent="0.3">
      <c r="A132" t="s">
        <v>92</v>
      </c>
      <c r="B132" t="s">
        <v>85</v>
      </c>
      <c r="C132" t="s">
        <v>20</v>
      </c>
      <c r="D132" t="s">
        <v>12</v>
      </c>
      <c r="E132">
        <v>1213.48</v>
      </c>
      <c r="F132">
        <v>5</v>
      </c>
      <c r="G132">
        <v>0.05</v>
      </c>
      <c r="H132" t="s">
        <v>166</v>
      </c>
      <c r="I132">
        <v>461.12</v>
      </c>
    </row>
    <row r="133" spans="1:9" ht="15" customHeight="1" x14ac:dyDescent="0.3">
      <c r="A133" t="s">
        <v>79</v>
      </c>
      <c r="B133" t="s">
        <v>44</v>
      </c>
      <c r="C133" t="s">
        <v>40</v>
      </c>
      <c r="D133" t="s">
        <v>12</v>
      </c>
      <c r="E133">
        <v>1150.28</v>
      </c>
      <c r="F133">
        <v>8</v>
      </c>
      <c r="G133">
        <v>0.05</v>
      </c>
      <c r="H133" t="s">
        <v>167</v>
      </c>
      <c r="I133">
        <v>437.11</v>
      </c>
    </row>
    <row r="134" spans="1:9" ht="15" customHeight="1" x14ac:dyDescent="0.3">
      <c r="A134" t="s">
        <v>43</v>
      </c>
      <c r="B134" t="s">
        <v>122</v>
      </c>
      <c r="C134" t="s">
        <v>23</v>
      </c>
      <c r="D134" t="s">
        <v>31</v>
      </c>
      <c r="E134">
        <v>853.86</v>
      </c>
      <c r="F134">
        <v>8</v>
      </c>
      <c r="G134">
        <v>0.1</v>
      </c>
      <c r="H134" t="s">
        <v>167</v>
      </c>
      <c r="I134">
        <v>268.97000000000003</v>
      </c>
    </row>
    <row r="135" spans="1:9" ht="15" customHeight="1" x14ac:dyDescent="0.3">
      <c r="A135" t="s">
        <v>141</v>
      </c>
      <c r="B135" t="s">
        <v>57</v>
      </c>
      <c r="C135" t="s">
        <v>23</v>
      </c>
      <c r="D135" t="s">
        <v>24</v>
      </c>
      <c r="E135">
        <v>1061.04</v>
      </c>
      <c r="F135">
        <v>1</v>
      </c>
      <c r="G135">
        <v>0</v>
      </c>
      <c r="H135" t="s">
        <v>168</v>
      </c>
      <c r="I135">
        <v>265.26</v>
      </c>
    </row>
    <row r="136" spans="1:9" ht="15" customHeight="1" x14ac:dyDescent="0.3">
      <c r="A136" t="s">
        <v>33</v>
      </c>
      <c r="B136" t="s">
        <v>53</v>
      </c>
      <c r="C136" t="s">
        <v>11</v>
      </c>
      <c r="D136" t="s">
        <v>24</v>
      </c>
      <c r="E136">
        <v>894.55</v>
      </c>
      <c r="F136">
        <v>19</v>
      </c>
      <c r="G136">
        <v>0.2</v>
      </c>
      <c r="H136" t="s">
        <v>169</v>
      </c>
      <c r="I136">
        <v>178.91</v>
      </c>
    </row>
    <row r="137" spans="1:9" ht="15" customHeight="1" x14ac:dyDescent="0.3">
      <c r="A137" t="s">
        <v>29</v>
      </c>
      <c r="B137" t="s">
        <v>44</v>
      </c>
      <c r="C137" t="s">
        <v>27</v>
      </c>
      <c r="D137" t="s">
        <v>45</v>
      </c>
      <c r="E137">
        <v>833.91</v>
      </c>
      <c r="F137">
        <v>3</v>
      </c>
      <c r="G137">
        <v>0.05</v>
      </c>
      <c r="H137" t="s">
        <v>170</v>
      </c>
      <c r="I137">
        <v>356.5</v>
      </c>
    </row>
    <row r="138" spans="1:9" ht="15" customHeight="1" x14ac:dyDescent="0.3">
      <c r="A138" t="s">
        <v>81</v>
      </c>
      <c r="B138" t="s">
        <v>122</v>
      </c>
      <c r="C138" t="s">
        <v>11</v>
      </c>
      <c r="D138" t="s">
        <v>31</v>
      </c>
      <c r="E138">
        <v>820.19</v>
      </c>
      <c r="F138">
        <v>4</v>
      </c>
      <c r="G138">
        <v>0.2</v>
      </c>
      <c r="H138" t="s">
        <v>171</v>
      </c>
      <c r="I138">
        <v>229.65</v>
      </c>
    </row>
    <row r="139" spans="1:9" ht="15" customHeight="1" x14ac:dyDescent="0.3">
      <c r="A139" t="s">
        <v>81</v>
      </c>
      <c r="B139" t="s">
        <v>44</v>
      </c>
      <c r="C139" t="s">
        <v>40</v>
      </c>
      <c r="D139" t="s">
        <v>24</v>
      </c>
      <c r="E139">
        <v>511.74</v>
      </c>
      <c r="F139">
        <v>8</v>
      </c>
      <c r="G139">
        <v>0.05</v>
      </c>
      <c r="H139" t="s">
        <v>172</v>
      </c>
      <c r="I139">
        <v>121.54</v>
      </c>
    </row>
    <row r="140" spans="1:9" ht="15" customHeight="1" x14ac:dyDescent="0.3">
      <c r="A140" t="s">
        <v>100</v>
      </c>
      <c r="B140" t="s">
        <v>85</v>
      </c>
      <c r="C140" t="s">
        <v>23</v>
      </c>
      <c r="D140" t="s">
        <v>31</v>
      </c>
      <c r="E140">
        <v>806.03</v>
      </c>
      <c r="F140">
        <v>19</v>
      </c>
      <c r="G140">
        <v>0.05</v>
      </c>
      <c r="H140" t="s">
        <v>173</v>
      </c>
      <c r="I140">
        <v>268</v>
      </c>
    </row>
    <row r="141" spans="1:9" ht="15" customHeight="1" x14ac:dyDescent="0.3">
      <c r="A141" t="s">
        <v>33</v>
      </c>
      <c r="B141" t="s">
        <v>30</v>
      </c>
      <c r="C141" t="s">
        <v>40</v>
      </c>
      <c r="D141" t="s">
        <v>31</v>
      </c>
      <c r="E141">
        <v>1432.47</v>
      </c>
      <c r="F141">
        <v>16</v>
      </c>
      <c r="G141">
        <v>0.15</v>
      </c>
      <c r="H141" t="s">
        <v>174</v>
      </c>
      <c r="I141">
        <v>426.16</v>
      </c>
    </row>
    <row r="142" spans="1:9" ht="15" customHeight="1" x14ac:dyDescent="0.3">
      <c r="A142" t="s">
        <v>139</v>
      </c>
      <c r="B142" t="s">
        <v>34</v>
      </c>
      <c r="C142" t="s">
        <v>40</v>
      </c>
      <c r="D142" t="s">
        <v>24</v>
      </c>
      <c r="E142">
        <v>1488.58</v>
      </c>
      <c r="F142">
        <v>10</v>
      </c>
      <c r="G142">
        <v>0.15</v>
      </c>
      <c r="H142" t="s">
        <v>174</v>
      </c>
      <c r="I142">
        <v>316.32</v>
      </c>
    </row>
    <row r="143" spans="1:9" ht="15" customHeight="1" x14ac:dyDescent="0.3">
      <c r="A143" t="s">
        <v>35</v>
      </c>
      <c r="B143" t="s">
        <v>103</v>
      </c>
      <c r="C143" t="s">
        <v>20</v>
      </c>
      <c r="D143" t="s">
        <v>12</v>
      </c>
      <c r="E143">
        <v>1231.26</v>
      </c>
      <c r="F143">
        <v>9</v>
      </c>
      <c r="G143">
        <v>0</v>
      </c>
      <c r="H143" t="s">
        <v>175</v>
      </c>
      <c r="I143">
        <v>492.5</v>
      </c>
    </row>
    <row r="144" spans="1:9" ht="15" customHeight="1" x14ac:dyDescent="0.3">
      <c r="A144" t="s">
        <v>35</v>
      </c>
      <c r="B144" t="s">
        <v>53</v>
      </c>
      <c r="C144" t="s">
        <v>11</v>
      </c>
      <c r="D144" t="s">
        <v>24</v>
      </c>
      <c r="E144">
        <v>1161.67</v>
      </c>
      <c r="F144">
        <v>19</v>
      </c>
      <c r="G144">
        <v>0.2</v>
      </c>
      <c r="H144" t="s">
        <v>176</v>
      </c>
      <c r="I144">
        <v>232.33</v>
      </c>
    </row>
    <row r="145" spans="1:9" ht="15" customHeight="1" x14ac:dyDescent="0.3">
      <c r="A145" t="s">
        <v>64</v>
      </c>
      <c r="B145" t="s">
        <v>57</v>
      </c>
      <c r="C145" t="s">
        <v>40</v>
      </c>
      <c r="D145" t="s">
        <v>45</v>
      </c>
      <c r="E145">
        <v>388.23</v>
      </c>
      <c r="F145">
        <v>16</v>
      </c>
      <c r="G145">
        <v>0.05</v>
      </c>
      <c r="H145" t="s">
        <v>177</v>
      </c>
      <c r="I145">
        <v>165.97</v>
      </c>
    </row>
    <row r="146" spans="1:9" ht="15" customHeight="1" x14ac:dyDescent="0.3">
      <c r="A146" t="s">
        <v>126</v>
      </c>
      <c r="B146" t="s">
        <v>36</v>
      </c>
      <c r="C146" t="s">
        <v>27</v>
      </c>
      <c r="D146" t="s">
        <v>16</v>
      </c>
      <c r="E146">
        <v>1589.42</v>
      </c>
      <c r="F146">
        <v>6</v>
      </c>
      <c r="G146">
        <v>0.15</v>
      </c>
      <c r="H146" t="s">
        <v>178</v>
      </c>
      <c r="I146">
        <v>675.5</v>
      </c>
    </row>
    <row r="147" spans="1:9" ht="15" customHeight="1" x14ac:dyDescent="0.3">
      <c r="A147" t="s">
        <v>33</v>
      </c>
      <c r="B147" t="s">
        <v>122</v>
      </c>
      <c r="C147" t="s">
        <v>27</v>
      </c>
      <c r="D147" t="s">
        <v>16</v>
      </c>
      <c r="E147">
        <v>336.66</v>
      </c>
      <c r="F147">
        <v>13</v>
      </c>
      <c r="G147">
        <v>0.2</v>
      </c>
      <c r="H147" t="s">
        <v>178</v>
      </c>
      <c r="I147">
        <v>134.66</v>
      </c>
    </row>
    <row r="148" spans="1:9" ht="15" customHeight="1" x14ac:dyDescent="0.3">
      <c r="A148" t="s">
        <v>64</v>
      </c>
      <c r="B148" t="s">
        <v>26</v>
      </c>
      <c r="C148" t="s">
        <v>11</v>
      </c>
      <c r="D148" t="s">
        <v>12</v>
      </c>
      <c r="E148">
        <v>1353.79</v>
      </c>
      <c r="F148">
        <v>14</v>
      </c>
      <c r="G148">
        <v>0.1</v>
      </c>
      <c r="H148" t="s">
        <v>179</v>
      </c>
      <c r="I148">
        <v>487.36</v>
      </c>
    </row>
    <row r="149" spans="1:9" ht="15" customHeight="1" x14ac:dyDescent="0.3">
      <c r="A149" t="s">
        <v>92</v>
      </c>
      <c r="B149" t="s">
        <v>118</v>
      </c>
      <c r="C149" t="s">
        <v>40</v>
      </c>
      <c r="D149" t="s">
        <v>16</v>
      </c>
      <c r="E149">
        <v>662.61</v>
      </c>
      <c r="F149">
        <v>11</v>
      </c>
      <c r="G149">
        <v>0.05</v>
      </c>
      <c r="H149" t="s">
        <v>180</v>
      </c>
      <c r="I149">
        <v>314.74</v>
      </c>
    </row>
    <row r="150" spans="1:9" ht="15" customHeight="1" x14ac:dyDescent="0.3">
      <c r="A150" t="s">
        <v>71</v>
      </c>
      <c r="B150" t="s">
        <v>62</v>
      </c>
      <c r="C150" t="s">
        <v>27</v>
      </c>
      <c r="D150" t="s">
        <v>45</v>
      </c>
      <c r="E150">
        <v>309.42</v>
      </c>
      <c r="F150">
        <v>1</v>
      </c>
      <c r="G150">
        <v>0.2</v>
      </c>
      <c r="H150" t="s">
        <v>180</v>
      </c>
      <c r="I150">
        <v>111.39</v>
      </c>
    </row>
    <row r="151" spans="1:9" ht="15" customHeight="1" x14ac:dyDescent="0.3">
      <c r="A151" t="s">
        <v>92</v>
      </c>
      <c r="B151" t="s">
        <v>34</v>
      </c>
      <c r="C151" t="s">
        <v>27</v>
      </c>
      <c r="D151" t="s">
        <v>12</v>
      </c>
      <c r="E151">
        <v>884.63</v>
      </c>
      <c r="F151">
        <v>18</v>
      </c>
      <c r="G151">
        <v>0.1</v>
      </c>
      <c r="H151" t="s">
        <v>181</v>
      </c>
      <c r="I151">
        <v>318.47000000000003</v>
      </c>
    </row>
    <row r="152" spans="1:9" ht="15" customHeight="1" x14ac:dyDescent="0.3">
      <c r="A152" t="s">
        <v>71</v>
      </c>
      <c r="B152" t="s">
        <v>26</v>
      </c>
      <c r="C152" t="s">
        <v>40</v>
      </c>
      <c r="D152" t="s">
        <v>45</v>
      </c>
      <c r="E152">
        <v>745.05</v>
      </c>
      <c r="F152">
        <v>10</v>
      </c>
      <c r="G152">
        <v>0.1</v>
      </c>
      <c r="H152" t="s">
        <v>182</v>
      </c>
      <c r="I152">
        <v>301.75</v>
      </c>
    </row>
    <row r="153" spans="1:9" ht="15" customHeight="1" x14ac:dyDescent="0.3">
      <c r="A153" t="s">
        <v>84</v>
      </c>
      <c r="B153" t="s">
        <v>19</v>
      </c>
      <c r="C153" t="s">
        <v>23</v>
      </c>
      <c r="D153" t="s">
        <v>16</v>
      </c>
      <c r="E153">
        <v>870.23</v>
      </c>
      <c r="F153">
        <v>5</v>
      </c>
      <c r="G153">
        <v>0.05</v>
      </c>
      <c r="H153" t="s">
        <v>182</v>
      </c>
      <c r="I153">
        <v>413.36</v>
      </c>
    </row>
    <row r="154" spans="1:9" ht="15" customHeight="1" x14ac:dyDescent="0.3">
      <c r="A154" t="s">
        <v>41</v>
      </c>
      <c r="B154" t="s">
        <v>34</v>
      </c>
      <c r="C154" t="s">
        <v>11</v>
      </c>
      <c r="D154" t="s">
        <v>31</v>
      </c>
      <c r="E154">
        <v>862.19</v>
      </c>
      <c r="F154">
        <v>18</v>
      </c>
      <c r="G154">
        <v>0.05</v>
      </c>
      <c r="H154" t="s">
        <v>183</v>
      </c>
      <c r="I154">
        <v>286.68</v>
      </c>
    </row>
    <row r="155" spans="1:9" ht="15" customHeight="1" x14ac:dyDescent="0.3">
      <c r="A155" t="s">
        <v>137</v>
      </c>
      <c r="B155" t="s">
        <v>83</v>
      </c>
      <c r="C155" t="s">
        <v>27</v>
      </c>
      <c r="D155" t="s">
        <v>16</v>
      </c>
      <c r="E155">
        <v>1171.18</v>
      </c>
      <c r="F155">
        <v>19</v>
      </c>
      <c r="G155">
        <v>0.05</v>
      </c>
      <c r="H155" t="s">
        <v>184</v>
      </c>
      <c r="I155">
        <v>556.30999999999995</v>
      </c>
    </row>
    <row r="156" spans="1:9" ht="15" customHeight="1" x14ac:dyDescent="0.3">
      <c r="A156" t="s">
        <v>81</v>
      </c>
      <c r="B156" t="s">
        <v>15</v>
      </c>
      <c r="C156" t="s">
        <v>23</v>
      </c>
      <c r="D156" t="s">
        <v>31</v>
      </c>
      <c r="E156">
        <v>1054.56</v>
      </c>
      <c r="F156">
        <v>11</v>
      </c>
      <c r="G156">
        <v>0.1</v>
      </c>
      <c r="H156" t="s">
        <v>185</v>
      </c>
      <c r="I156">
        <v>332.19</v>
      </c>
    </row>
    <row r="157" spans="1:9" ht="15" customHeight="1" x14ac:dyDescent="0.3">
      <c r="A157" t="s">
        <v>81</v>
      </c>
      <c r="B157" t="s">
        <v>26</v>
      </c>
      <c r="C157" t="s">
        <v>27</v>
      </c>
      <c r="D157" t="s">
        <v>24</v>
      </c>
      <c r="E157">
        <v>1681.21</v>
      </c>
      <c r="F157">
        <v>5</v>
      </c>
      <c r="G157">
        <v>0.2</v>
      </c>
      <c r="H157" t="s">
        <v>186</v>
      </c>
      <c r="I157">
        <v>336.24</v>
      </c>
    </row>
    <row r="158" spans="1:9" ht="15" customHeight="1" x14ac:dyDescent="0.3">
      <c r="A158" t="s">
        <v>81</v>
      </c>
      <c r="B158" t="s">
        <v>42</v>
      </c>
      <c r="C158" t="s">
        <v>11</v>
      </c>
      <c r="D158" t="s">
        <v>16</v>
      </c>
      <c r="E158">
        <v>379.77</v>
      </c>
      <c r="F158">
        <v>9</v>
      </c>
      <c r="G158">
        <v>0.05</v>
      </c>
      <c r="H158" t="s">
        <v>187</v>
      </c>
      <c r="I158">
        <v>180.39</v>
      </c>
    </row>
    <row r="159" spans="1:9" ht="15" customHeight="1" x14ac:dyDescent="0.3">
      <c r="A159" t="s">
        <v>55</v>
      </c>
      <c r="B159" t="s">
        <v>57</v>
      </c>
      <c r="C159" t="s">
        <v>40</v>
      </c>
      <c r="D159" t="s">
        <v>16</v>
      </c>
      <c r="E159">
        <v>1076.33</v>
      </c>
      <c r="F159">
        <v>2</v>
      </c>
      <c r="G159">
        <v>0.1</v>
      </c>
      <c r="H159" t="s">
        <v>188</v>
      </c>
      <c r="I159">
        <v>484.35</v>
      </c>
    </row>
    <row r="160" spans="1:9" ht="15" customHeight="1" x14ac:dyDescent="0.3">
      <c r="A160" t="s">
        <v>55</v>
      </c>
      <c r="B160" t="s">
        <v>36</v>
      </c>
      <c r="C160" t="s">
        <v>40</v>
      </c>
      <c r="D160" t="s">
        <v>45</v>
      </c>
      <c r="E160">
        <v>1250.71</v>
      </c>
      <c r="F160">
        <v>7</v>
      </c>
      <c r="G160">
        <v>0</v>
      </c>
      <c r="H160" t="s">
        <v>188</v>
      </c>
      <c r="I160">
        <v>562.82000000000005</v>
      </c>
    </row>
    <row r="161" spans="1:9" ht="15" customHeight="1" x14ac:dyDescent="0.3">
      <c r="A161" t="s">
        <v>49</v>
      </c>
      <c r="B161" t="s">
        <v>19</v>
      </c>
      <c r="C161" t="s">
        <v>23</v>
      </c>
      <c r="D161" t="s">
        <v>16</v>
      </c>
      <c r="E161">
        <v>1118.3399999999999</v>
      </c>
      <c r="F161">
        <v>6</v>
      </c>
      <c r="G161">
        <v>0.2</v>
      </c>
      <c r="H161" t="s">
        <v>188</v>
      </c>
      <c r="I161">
        <v>447.34</v>
      </c>
    </row>
    <row r="162" spans="1:9" ht="15" customHeight="1" x14ac:dyDescent="0.3">
      <c r="A162" t="s">
        <v>120</v>
      </c>
      <c r="B162" t="s">
        <v>72</v>
      </c>
      <c r="C162" t="s">
        <v>27</v>
      </c>
      <c r="D162" t="s">
        <v>16</v>
      </c>
      <c r="E162">
        <v>1622.62</v>
      </c>
      <c r="F162">
        <v>12</v>
      </c>
      <c r="G162">
        <v>0.2</v>
      </c>
      <c r="H162" t="s">
        <v>189</v>
      </c>
      <c r="I162">
        <v>649.04999999999995</v>
      </c>
    </row>
    <row r="163" spans="1:9" ht="15" customHeight="1" x14ac:dyDescent="0.3">
      <c r="A163" t="s">
        <v>141</v>
      </c>
      <c r="B163" t="s">
        <v>62</v>
      </c>
      <c r="C163" t="s">
        <v>27</v>
      </c>
      <c r="D163" t="s">
        <v>12</v>
      </c>
      <c r="E163">
        <v>640.64</v>
      </c>
      <c r="F163">
        <v>11</v>
      </c>
      <c r="G163">
        <v>0.2</v>
      </c>
      <c r="H163" t="s">
        <v>190</v>
      </c>
      <c r="I163">
        <v>205</v>
      </c>
    </row>
    <row r="164" spans="1:9" ht="15" customHeight="1" x14ac:dyDescent="0.3">
      <c r="A164" t="s">
        <v>25</v>
      </c>
      <c r="B164" t="s">
        <v>53</v>
      </c>
      <c r="C164" t="s">
        <v>11</v>
      </c>
      <c r="D164" t="s">
        <v>16</v>
      </c>
      <c r="E164">
        <v>585.16</v>
      </c>
      <c r="F164">
        <v>17</v>
      </c>
      <c r="G164">
        <v>0.1</v>
      </c>
      <c r="H164" t="s">
        <v>191</v>
      </c>
      <c r="I164">
        <v>263.32</v>
      </c>
    </row>
    <row r="165" spans="1:9" ht="15" customHeight="1" x14ac:dyDescent="0.3">
      <c r="A165" t="s">
        <v>25</v>
      </c>
      <c r="B165" t="s">
        <v>36</v>
      </c>
      <c r="C165" t="s">
        <v>20</v>
      </c>
      <c r="D165" t="s">
        <v>16</v>
      </c>
      <c r="E165">
        <v>1109.98</v>
      </c>
      <c r="F165">
        <v>5</v>
      </c>
      <c r="G165">
        <v>0.2</v>
      </c>
      <c r="H165" t="s">
        <v>192</v>
      </c>
      <c r="I165">
        <v>443.99</v>
      </c>
    </row>
    <row r="166" spans="1:9" ht="15" customHeight="1" x14ac:dyDescent="0.3">
      <c r="A166" t="s">
        <v>81</v>
      </c>
      <c r="B166" t="s">
        <v>57</v>
      </c>
      <c r="C166" t="s">
        <v>20</v>
      </c>
      <c r="D166" t="s">
        <v>12</v>
      </c>
      <c r="E166">
        <v>1098.08</v>
      </c>
      <c r="F166">
        <v>9</v>
      </c>
      <c r="G166">
        <v>0.1</v>
      </c>
      <c r="H166" t="s">
        <v>193</v>
      </c>
      <c r="I166">
        <v>395.31</v>
      </c>
    </row>
    <row r="167" spans="1:9" ht="15" customHeight="1" x14ac:dyDescent="0.3">
      <c r="A167" t="s">
        <v>100</v>
      </c>
      <c r="B167" t="s">
        <v>62</v>
      </c>
      <c r="C167" t="s">
        <v>11</v>
      </c>
      <c r="D167" t="s">
        <v>45</v>
      </c>
      <c r="E167">
        <v>827.25</v>
      </c>
      <c r="F167">
        <v>7</v>
      </c>
      <c r="G167">
        <v>0.1</v>
      </c>
      <c r="H167" t="s">
        <v>194</v>
      </c>
      <c r="I167">
        <v>335.04</v>
      </c>
    </row>
    <row r="168" spans="1:9" ht="15" customHeight="1" x14ac:dyDescent="0.3">
      <c r="A168" t="s">
        <v>120</v>
      </c>
      <c r="B168" t="s">
        <v>34</v>
      </c>
      <c r="C168" t="s">
        <v>40</v>
      </c>
      <c r="D168" t="s">
        <v>16</v>
      </c>
      <c r="E168">
        <v>741.88</v>
      </c>
      <c r="F168">
        <v>16</v>
      </c>
      <c r="G168">
        <v>0.1</v>
      </c>
      <c r="H168" t="s">
        <v>195</v>
      </c>
      <c r="I168">
        <v>333.85</v>
      </c>
    </row>
    <row r="169" spans="1:9" ht="15" customHeight="1" x14ac:dyDescent="0.3">
      <c r="A169" t="s">
        <v>126</v>
      </c>
      <c r="B169" t="s">
        <v>10</v>
      </c>
      <c r="C169" t="s">
        <v>20</v>
      </c>
      <c r="D169" t="s">
        <v>45</v>
      </c>
      <c r="E169">
        <v>1311.26</v>
      </c>
      <c r="F169">
        <v>6</v>
      </c>
      <c r="G169">
        <v>0.1</v>
      </c>
      <c r="H169" t="s">
        <v>196</v>
      </c>
      <c r="I169">
        <v>531.05999999999995</v>
      </c>
    </row>
    <row r="170" spans="1:9" ht="15" customHeight="1" x14ac:dyDescent="0.3">
      <c r="A170" t="s">
        <v>126</v>
      </c>
      <c r="B170" t="s">
        <v>36</v>
      </c>
      <c r="C170" t="s">
        <v>23</v>
      </c>
      <c r="D170" t="s">
        <v>45</v>
      </c>
      <c r="E170">
        <v>573.32000000000005</v>
      </c>
      <c r="F170">
        <v>19</v>
      </c>
      <c r="G170">
        <v>0.1</v>
      </c>
      <c r="H170" t="s">
        <v>197</v>
      </c>
      <c r="I170">
        <v>232.19</v>
      </c>
    </row>
    <row r="171" spans="1:9" ht="15" customHeight="1" x14ac:dyDescent="0.3">
      <c r="A171" t="s">
        <v>71</v>
      </c>
      <c r="B171" t="s">
        <v>26</v>
      </c>
      <c r="C171" t="s">
        <v>11</v>
      </c>
      <c r="D171" t="s">
        <v>24</v>
      </c>
      <c r="E171">
        <v>1115.22</v>
      </c>
      <c r="F171">
        <v>14</v>
      </c>
      <c r="G171">
        <v>0.2</v>
      </c>
      <c r="H171" t="s">
        <v>198</v>
      </c>
      <c r="I171">
        <v>223.04</v>
      </c>
    </row>
    <row r="172" spans="1:9" ht="15" customHeight="1" x14ac:dyDescent="0.3">
      <c r="A172" t="s">
        <v>14</v>
      </c>
      <c r="B172" t="s">
        <v>57</v>
      </c>
      <c r="C172" t="s">
        <v>27</v>
      </c>
      <c r="D172" t="s">
        <v>16</v>
      </c>
      <c r="E172">
        <v>845.84</v>
      </c>
      <c r="F172">
        <v>4</v>
      </c>
      <c r="G172">
        <v>0</v>
      </c>
      <c r="H172" t="s">
        <v>199</v>
      </c>
      <c r="I172">
        <v>422.92</v>
      </c>
    </row>
    <row r="173" spans="1:9" ht="15" customHeight="1" x14ac:dyDescent="0.3">
      <c r="A173" t="s">
        <v>35</v>
      </c>
      <c r="B173" t="s">
        <v>75</v>
      </c>
      <c r="C173" t="s">
        <v>11</v>
      </c>
      <c r="D173" t="s">
        <v>24</v>
      </c>
      <c r="E173">
        <v>1029.8</v>
      </c>
      <c r="F173">
        <v>3</v>
      </c>
      <c r="G173">
        <v>0</v>
      </c>
      <c r="H173" t="s">
        <v>200</v>
      </c>
      <c r="I173">
        <v>257.45</v>
      </c>
    </row>
    <row r="174" spans="1:9" ht="15" customHeight="1" x14ac:dyDescent="0.3">
      <c r="A174" t="s">
        <v>38</v>
      </c>
      <c r="B174" t="s">
        <v>36</v>
      </c>
      <c r="C174" t="s">
        <v>27</v>
      </c>
      <c r="D174" t="s">
        <v>12</v>
      </c>
      <c r="E174">
        <v>1189.83</v>
      </c>
      <c r="F174">
        <v>2</v>
      </c>
      <c r="G174">
        <v>0.2</v>
      </c>
      <c r="H174" t="s">
        <v>201</v>
      </c>
      <c r="I174">
        <v>380.75</v>
      </c>
    </row>
    <row r="175" spans="1:9" ht="15" customHeight="1" x14ac:dyDescent="0.3">
      <c r="A175" t="s">
        <v>106</v>
      </c>
      <c r="B175" t="s">
        <v>53</v>
      </c>
      <c r="C175" t="s">
        <v>23</v>
      </c>
      <c r="D175" t="s">
        <v>12</v>
      </c>
      <c r="E175">
        <v>704.28</v>
      </c>
      <c r="F175">
        <v>15</v>
      </c>
      <c r="G175">
        <v>0.2</v>
      </c>
      <c r="H175" t="s">
        <v>202</v>
      </c>
      <c r="I175">
        <v>225.37</v>
      </c>
    </row>
    <row r="176" spans="1:9" ht="15" customHeight="1" x14ac:dyDescent="0.3">
      <c r="A176" t="s">
        <v>100</v>
      </c>
      <c r="B176" t="s">
        <v>59</v>
      </c>
      <c r="C176" t="s">
        <v>40</v>
      </c>
      <c r="D176" t="s">
        <v>45</v>
      </c>
      <c r="E176">
        <v>1618.22</v>
      </c>
      <c r="F176">
        <v>12</v>
      </c>
      <c r="G176">
        <v>0.2</v>
      </c>
      <c r="H176" t="s">
        <v>202</v>
      </c>
      <c r="I176">
        <v>582.55999999999995</v>
      </c>
    </row>
    <row r="177" spans="1:9" ht="15" customHeight="1" x14ac:dyDescent="0.3">
      <c r="A177" t="s">
        <v>137</v>
      </c>
      <c r="B177" t="s">
        <v>72</v>
      </c>
      <c r="C177" t="s">
        <v>40</v>
      </c>
      <c r="D177" t="s">
        <v>12</v>
      </c>
      <c r="E177">
        <v>1014.43</v>
      </c>
      <c r="F177">
        <v>2</v>
      </c>
      <c r="G177">
        <v>0.15</v>
      </c>
      <c r="H177" t="s">
        <v>203</v>
      </c>
      <c r="I177">
        <v>344.91</v>
      </c>
    </row>
    <row r="178" spans="1:9" ht="15" customHeight="1" x14ac:dyDescent="0.3">
      <c r="A178" t="s">
        <v>141</v>
      </c>
      <c r="B178" t="s">
        <v>36</v>
      </c>
      <c r="C178" t="s">
        <v>40</v>
      </c>
      <c r="D178" t="s">
        <v>16</v>
      </c>
      <c r="E178">
        <v>826.97</v>
      </c>
      <c r="F178">
        <v>18</v>
      </c>
      <c r="G178">
        <v>0.2</v>
      </c>
      <c r="H178" t="s">
        <v>204</v>
      </c>
      <c r="I178">
        <v>330.79</v>
      </c>
    </row>
    <row r="179" spans="1:9" ht="15" customHeight="1" x14ac:dyDescent="0.3">
      <c r="A179" t="s">
        <v>18</v>
      </c>
      <c r="B179" t="s">
        <v>36</v>
      </c>
      <c r="C179" t="s">
        <v>40</v>
      </c>
      <c r="D179" t="s">
        <v>16</v>
      </c>
      <c r="E179">
        <v>1022.23</v>
      </c>
      <c r="F179">
        <v>8</v>
      </c>
      <c r="G179">
        <v>0.1</v>
      </c>
      <c r="H179" t="s">
        <v>205</v>
      </c>
      <c r="I179">
        <v>460</v>
      </c>
    </row>
    <row r="180" spans="1:9" ht="15" customHeight="1" x14ac:dyDescent="0.3">
      <c r="A180" t="s">
        <v>126</v>
      </c>
      <c r="B180" t="s">
        <v>34</v>
      </c>
      <c r="C180" t="s">
        <v>20</v>
      </c>
      <c r="D180" t="s">
        <v>12</v>
      </c>
      <c r="E180">
        <v>1099.69</v>
      </c>
      <c r="F180">
        <v>6</v>
      </c>
      <c r="G180">
        <v>0</v>
      </c>
      <c r="H180" t="s">
        <v>206</v>
      </c>
      <c r="I180">
        <v>439.88</v>
      </c>
    </row>
    <row r="181" spans="1:9" ht="15" customHeight="1" x14ac:dyDescent="0.3">
      <c r="A181" t="s">
        <v>71</v>
      </c>
      <c r="B181" t="s">
        <v>98</v>
      </c>
      <c r="C181" t="s">
        <v>27</v>
      </c>
      <c r="D181" t="s">
        <v>12</v>
      </c>
      <c r="E181">
        <v>710.52</v>
      </c>
      <c r="F181">
        <v>8</v>
      </c>
      <c r="G181">
        <v>0.1</v>
      </c>
      <c r="H181" t="s">
        <v>207</v>
      </c>
      <c r="I181">
        <v>255.79</v>
      </c>
    </row>
    <row r="182" spans="1:9" ht="15" customHeight="1" x14ac:dyDescent="0.3">
      <c r="A182" t="s">
        <v>71</v>
      </c>
      <c r="B182" t="s">
        <v>83</v>
      </c>
      <c r="C182" t="s">
        <v>27</v>
      </c>
      <c r="D182" t="s">
        <v>12</v>
      </c>
      <c r="E182">
        <v>499.18</v>
      </c>
      <c r="F182">
        <v>15</v>
      </c>
      <c r="G182">
        <v>0.2</v>
      </c>
      <c r="H182" t="s">
        <v>208</v>
      </c>
      <c r="I182">
        <v>159.74</v>
      </c>
    </row>
    <row r="183" spans="1:9" ht="15" customHeight="1" x14ac:dyDescent="0.3">
      <c r="A183" t="s">
        <v>43</v>
      </c>
      <c r="B183" t="s">
        <v>44</v>
      </c>
      <c r="C183" t="s">
        <v>23</v>
      </c>
      <c r="D183" t="s">
        <v>12</v>
      </c>
      <c r="E183">
        <v>1064.19</v>
      </c>
      <c r="F183">
        <v>18</v>
      </c>
      <c r="G183">
        <v>0.05</v>
      </c>
      <c r="H183" t="s">
        <v>209</v>
      </c>
      <c r="I183">
        <v>404.39</v>
      </c>
    </row>
    <row r="184" spans="1:9" ht="15" customHeight="1" x14ac:dyDescent="0.3">
      <c r="A184" t="s">
        <v>106</v>
      </c>
      <c r="B184" t="s">
        <v>44</v>
      </c>
      <c r="C184" t="s">
        <v>20</v>
      </c>
      <c r="D184" t="s">
        <v>45</v>
      </c>
      <c r="E184">
        <v>438.76</v>
      </c>
      <c r="F184">
        <v>18</v>
      </c>
      <c r="G184">
        <v>0.05</v>
      </c>
      <c r="H184" t="s">
        <v>210</v>
      </c>
      <c r="I184">
        <v>187.57</v>
      </c>
    </row>
    <row r="185" spans="1:9" ht="15" customHeight="1" x14ac:dyDescent="0.3">
      <c r="A185" t="s">
        <v>50</v>
      </c>
      <c r="B185" t="s">
        <v>75</v>
      </c>
      <c r="C185" t="s">
        <v>11</v>
      </c>
      <c r="D185" t="s">
        <v>16</v>
      </c>
      <c r="E185">
        <v>864.98</v>
      </c>
      <c r="F185">
        <v>2</v>
      </c>
      <c r="G185">
        <v>0.05</v>
      </c>
      <c r="H185" t="s">
        <v>211</v>
      </c>
      <c r="I185">
        <v>410.87</v>
      </c>
    </row>
    <row r="186" spans="1:9" ht="15" customHeight="1" x14ac:dyDescent="0.3">
      <c r="A186" t="s">
        <v>79</v>
      </c>
      <c r="B186" t="s">
        <v>75</v>
      </c>
      <c r="C186" t="s">
        <v>11</v>
      </c>
      <c r="D186" t="s">
        <v>31</v>
      </c>
      <c r="E186">
        <v>984.93</v>
      </c>
      <c r="F186">
        <v>14</v>
      </c>
      <c r="G186">
        <v>0.2</v>
      </c>
      <c r="H186" t="s">
        <v>212</v>
      </c>
      <c r="I186">
        <v>275.77999999999997</v>
      </c>
    </row>
    <row r="187" spans="1:9" ht="15" customHeight="1" x14ac:dyDescent="0.3">
      <c r="A187" t="s">
        <v>29</v>
      </c>
      <c r="B187" t="s">
        <v>75</v>
      </c>
      <c r="C187" t="s">
        <v>11</v>
      </c>
      <c r="D187" t="s">
        <v>16</v>
      </c>
      <c r="E187">
        <v>1493.49</v>
      </c>
      <c r="F187">
        <v>18</v>
      </c>
      <c r="G187">
        <v>0</v>
      </c>
      <c r="H187" t="s">
        <v>213</v>
      </c>
      <c r="I187">
        <v>746.74</v>
      </c>
    </row>
    <row r="188" spans="1:9" ht="15" customHeight="1" x14ac:dyDescent="0.3">
      <c r="A188" t="s">
        <v>38</v>
      </c>
      <c r="B188" t="s">
        <v>72</v>
      </c>
      <c r="C188" t="s">
        <v>23</v>
      </c>
      <c r="D188" t="s">
        <v>16</v>
      </c>
      <c r="E188">
        <v>689.43</v>
      </c>
      <c r="F188">
        <v>9</v>
      </c>
      <c r="G188">
        <v>0.1</v>
      </c>
      <c r="H188" t="s">
        <v>214</v>
      </c>
      <c r="I188">
        <v>310.24</v>
      </c>
    </row>
    <row r="189" spans="1:9" ht="15" customHeight="1" x14ac:dyDescent="0.3">
      <c r="A189" t="s">
        <v>49</v>
      </c>
      <c r="B189" t="s">
        <v>83</v>
      </c>
      <c r="C189" t="s">
        <v>23</v>
      </c>
      <c r="D189" t="s">
        <v>16</v>
      </c>
      <c r="E189">
        <v>682.24</v>
      </c>
      <c r="F189">
        <v>1</v>
      </c>
      <c r="G189">
        <v>0</v>
      </c>
      <c r="H189" t="s">
        <v>215</v>
      </c>
      <c r="I189">
        <v>341.12</v>
      </c>
    </row>
    <row r="190" spans="1:9" ht="15" customHeight="1" x14ac:dyDescent="0.3">
      <c r="A190" t="s">
        <v>50</v>
      </c>
      <c r="B190" t="s">
        <v>30</v>
      </c>
      <c r="C190" t="s">
        <v>27</v>
      </c>
      <c r="D190" t="s">
        <v>24</v>
      </c>
      <c r="E190">
        <v>458.54</v>
      </c>
      <c r="F190">
        <v>15</v>
      </c>
      <c r="G190">
        <v>0.2</v>
      </c>
      <c r="H190" t="s">
        <v>216</v>
      </c>
      <c r="I190">
        <v>91.71</v>
      </c>
    </row>
    <row r="191" spans="1:9" ht="15" customHeight="1" x14ac:dyDescent="0.3">
      <c r="A191" t="s">
        <v>38</v>
      </c>
      <c r="B191" t="s">
        <v>30</v>
      </c>
      <c r="C191" t="s">
        <v>23</v>
      </c>
      <c r="D191" t="s">
        <v>31</v>
      </c>
      <c r="E191">
        <v>1184.25</v>
      </c>
      <c r="F191">
        <v>11</v>
      </c>
      <c r="G191">
        <v>0.2</v>
      </c>
      <c r="H191" t="s">
        <v>217</v>
      </c>
      <c r="I191">
        <v>331.59</v>
      </c>
    </row>
    <row r="192" spans="1:9" ht="15" customHeight="1" x14ac:dyDescent="0.3">
      <c r="A192" t="s">
        <v>29</v>
      </c>
      <c r="B192" t="s">
        <v>10</v>
      </c>
      <c r="C192" t="s">
        <v>23</v>
      </c>
      <c r="D192" t="s">
        <v>16</v>
      </c>
      <c r="E192">
        <v>762.14</v>
      </c>
      <c r="F192">
        <v>9</v>
      </c>
      <c r="G192">
        <v>0</v>
      </c>
      <c r="H192" t="s">
        <v>218</v>
      </c>
      <c r="I192">
        <v>381.07</v>
      </c>
    </row>
    <row r="193" spans="1:9" ht="15" customHeight="1" x14ac:dyDescent="0.3">
      <c r="A193" t="s">
        <v>25</v>
      </c>
      <c r="B193" t="s">
        <v>72</v>
      </c>
      <c r="C193" t="s">
        <v>27</v>
      </c>
      <c r="D193" t="s">
        <v>12</v>
      </c>
      <c r="E193">
        <v>750.71</v>
      </c>
      <c r="F193">
        <v>10</v>
      </c>
      <c r="G193">
        <v>0.15</v>
      </c>
      <c r="H193" t="s">
        <v>218</v>
      </c>
      <c r="I193">
        <v>255.24</v>
      </c>
    </row>
    <row r="194" spans="1:9" ht="15" customHeight="1" x14ac:dyDescent="0.3">
      <c r="A194" t="s">
        <v>141</v>
      </c>
      <c r="B194" t="s">
        <v>122</v>
      </c>
      <c r="C194" t="s">
        <v>40</v>
      </c>
      <c r="D194" t="s">
        <v>16</v>
      </c>
      <c r="E194">
        <v>1456.94</v>
      </c>
      <c r="F194">
        <v>14</v>
      </c>
      <c r="G194">
        <v>0.05</v>
      </c>
      <c r="H194" t="s">
        <v>219</v>
      </c>
      <c r="I194">
        <v>692.05</v>
      </c>
    </row>
    <row r="195" spans="1:9" ht="15" customHeight="1" x14ac:dyDescent="0.3">
      <c r="A195" t="s">
        <v>55</v>
      </c>
      <c r="B195" t="s">
        <v>85</v>
      </c>
      <c r="C195" t="s">
        <v>20</v>
      </c>
      <c r="D195" t="s">
        <v>31</v>
      </c>
      <c r="E195">
        <v>1093.3800000000001</v>
      </c>
      <c r="F195">
        <v>17</v>
      </c>
      <c r="G195">
        <v>0.1</v>
      </c>
      <c r="H195" t="s">
        <v>219</v>
      </c>
      <c r="I195">
        <v>344.41</v>
      </c>
    </row>
    <row r="196" spans="1:9" ht="15" customHeight="1" x14ac:dyDescent="0.3">
      <c r="A196" t="s">
        <v>43</v>
      </c>
      <c r="B196" t="s">
        <v>53</v>
      </c>
      <c r="C196" t="s">
        <v>11</v>
      </c>
      <c r="D196" t="s">
        <v>16</v>
      </c>
      <c r="E196">
        <v>934.27</v>
      </c>
      <c r="F196">
        <v>8</v>
      </c>
      <c r="G196">
        <v>0.15</v>
      </c>
      <c r="H196" t="s">
        <v>220</v>
      </c>
      <c r="I196">
        <v>397.06</v>
      </c>
    </row>
    <row r="197" spans="1:9" ht="15" customHeight="1" x14ac:dyDescent="0.3">
      <c r="A197" t="s">
        <v>120</v>
      </c>
      <c r="B197" t="s">
        <v>42</v>
      </c>
      <c r="C197" t="s">
        <v>40</v>
      </c>
      <c r="D197" t="s">
        <v>16</v>
      </c>
      <c r="E197">
        <v>1465.35</v>
      </c>
      <c r="F197">
        <v>8</v>
      </c>
      <c r="G197">
        <v>0.2</v>
      </c>
      <c r="H197" t="s">
        <v>220</v>
      </c>
      <c r="I197">
        <v>586.14</v>
      </c>
    </row>
    <row r="198" spans="1:9" ht="15" customHeight="1" x14ac:dyDescent="0.3">
      <c r="A198" t="s">
        <v>71</v>
      </c>
      <c r="B198" t="s">
        <v>15</v>
      </c>
      <c r="C198" t="s">
        <v>23</v>
      </c>
      <c r="D198" t="s">
        <v>45</v>
      </c>
      <c r="E198">
        <v>740.8</v>
      </c>
      <c r="F198">
        <v>3</v>
      </c>
      <c r="G198">
        <v>0</v>
      </c>
      <c r="H198" t="s">
        <v>221</v>
      </c>
      <c r="I198">
        <v>333.36</v>
      </c>
    </row>
    <row r="199" spans="1:9" ht="15" customHeight="1" x14ac:dyDescent="0.3">
      <c r="A199" t="s">
        <v>81</v>
      </c>
      <c r="B199" t="s">
        <v>53</v>
      </c>
      <c r="C199" t="s">
        <v>11</v>
      </c>
      <c r="D199" t="s">
        <v>45</v>
      </c>
      <c r="E199">
        <v>545.44000000000005</v>
      </c>
      <c r="F199">
        <v>17</v>
      </c>
      <c r="G199">
        <v>0</v>
      </c>
      <c r="H199" t="s">
        <v>222</v>
      </c>
      <c r="I199">
        <v>245.45</v>
      </c>
    </row>
    <row r="200" spans="1:9" ht="15" customHeight="1" x14ac:dyDescent="0.3">
      <c r="A200" t="s">
        <v>41</v>
      </c>
      <c r="B200" t="s">
        <v>42</v>
      </c>
      <c r="C200" t="s">
        <v>20</v>
      </c>
      <c r="D200" t="s">
        <v>12</v>
      </c>
      <c r="E200">
        <v>997.61</v>
      </c>
      <c r="F200">
        <v>8</v>
      </c>
      <c r="G200">
        <v>0.05</v>
      </c>
      <c r="H200" t="s">
        <v>223</v>
      </c>
      <c r="I200">
        <v>379.09</v>
      </c>
    </row>
    <row r="201" spans="1:9" ht="15" customHeight="1" x14ac:dyDescent="0.3">
      <c r="A201" t="s">
        <v>84</v>
      </c>
      <c r="B201" t="s">
        <v>42</v>
      </c>
      <c r="C201" t="s">
        <v>23</v>
      </c>
      <c r="D201" t="s">
        <v>16</v>
      </c>
      <c r="E201">
        <v>928.32</v>
      </c>
      <c r="F201">
        <v>2</v>
      </c>
      <c r="G201">
        <v>0.05</v>
      </c>
      <c r="H201" t="s">
        <v>223</v>
      </c>
      <c r="I201">
        <v>440.95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D174"/>
  <sheetViews>
    <sheetView topLeftCell="A198" zoomScaleNormal="100" workbookViewId="0">
      <selection activeCell="J12" sqref="J12"/>
    </sheetView>
  </sheetViews>
  <sheetFormatPr defaultColWidth="8.6640625" defaultRowHeight="14.4" x14ac:dyDescent="0.3"/>
  <cols>
    <col min="1" max="1" width="15.88671875" customWidth="1"/>
    <col min="2" max="2" width="14.33203125" customWidth="1"/>
    <col min="3" max="3" width="17.5546875" customWidth="1"/>
    <col min="4" max="4" width="29.109375" customWidth="1"/>
  </cols>
  <sheetData>
    <row r="1" spans="1:4" ht="17.25" customHeight="1" x14ac:dyDescent="0.3">
      <c r="A1" s="17" t="s">
        <v>224</v>
      </c>
      <c r="B1" s="17"/>
      <c r="C1" s="17"/>
      <c r="D1" s="17"/>
    </row>
    <row r="3" spans="1:4" ht="15" customHeight="1" x14ac:dyDescent="0.3">
      <c r="A3" s="7"/>
      <c r="B3" s="2" t="s">
        <v>225</v>
      </c>
      <c r="C3" s="2" t="s">
        <v>226</v>
      </c>
      <c r="D3" s="2" t="s">
        <v>227</v>
      </c>
    </row>
    <row r="4" spans="1:4" ht="15" customHeight="1" x14ac:dyDescent="0.3">
      <c r="B4" t="s">
        <v>9</v>
      </c>
      <c r="C4" t="s">
        <v>10</v>
      </c>
      <c r="D4">
        <f>SUMIF(Data!$A:$A,B4,Data!$E:$E)</f>
        <v>4640.1099999999997</v>
      </c>
    </row>
    <row r="5" spans="1:4" ht="15" customHeight="1" x14ac:dyDescent="0.3">
      <c r="B5" t="s">
        <v>14</v>
      </c>
      <c r="C5" t="s">
        <v>15</v>
      </c>
      <c r="D5">
        <f>SUMIF(Data!$A:$A,B5,Data!$E:$E)</f>
        <v>8339</v>
      </c>
    </row>
    <row r="6" spans="1:4" ht="15" customHeight="1" x14ac:dyDescent="0.3">
      <c r="B6" t="s">
        <v>18</v>
      </c>
      <c r="C6" t="s">
        <v>19</v>
      </c>
      <c r="D6">
        <f>SUMIF(Data!$A:$A,B6,Data!$E:$E)</f>
        <v>3419.2</v>
      </c>
    </row>
    <row r="7" spans="1:4" ht="15" customHeight="1" x14ac:dyDescent="0.3">
      <c r="B7" t="s">
        <v>22</v>
      </c>
      <c r="C7" t="s">
        <v>15</v>
      </c>
      <c r="D7">
        <f>SUMIF(Data!$A:$A,B7,Data!$E:$E)</f>
        <v>6666.130000000001</v>
      </c>
    </row>
    <row r="8" spans="1:4" ht="15" customHeight="1" x14ac:dyDescent="0.3">
      <c r="B8" t="s">
        <v>25</v>
      </c>
      <c r="C8" t="s">
        <v>26</v>
      </c>
      <c r="D8">
        <f>SUMIF(Data!$A:$A,B8,Data!$E:$E)</f>
        <v>7928.71</v>
      </c>
    </row>
    <row r="9" spans="1:4" ht="15" customHeight="1" x14ac:dyDescent="0.3">
      <c r="B9" t="s">
        <v>29</v>
      </c>
      <c r="C9" t="s">
        <v>30</v>
      </c>
      <c r="D9">
        <f>SUMIF(Data!$A:$A,B9,Data!$E:$E)</f>
        <v>9941.8799999999992</v>
      </c>
    </row>
    <row r="10" spans="1:4" ht="15" customHeight="1" x14ac:dyDescent="0.3">
      <c r="B10" t="s">
        <v>33</v>
      </c>
      <c r="C10" t="s">
        <v>34</v>
      </c>
      <c r="D10">
        <f>SUMIF(Data!$A:$A,B10,Data!$E:$E)</f>
        <v>6549.55</v>
      </c>
    </row>
    <row r="11" spans="1:4" ht="15" customHeight="1" x14ac:dyDescent="0.3">
      <c r="B11" t="s">
        <v>35</v>
      </c>
      <c r="C11" t="s">
        <v>36</v>
      </c>
      <c r="D11">
        <f>SUMIF(Data!$A:$A,B11,Data!$E:$E)</f>
        <v>9371.81</v>
      </c>
    </row>
    <row r="12" spans="1:4" ht="15" customHeight="1" x14ac:dyDescent="0.3">
      <c r="B12" t="s">
        <v>38</v>
      </c>
      <c r="C12" t="s">
        <v>39</v>
      </c>
      <c r="D12">
        <f>SUMIF(Data!$A:$A,B12,Data!$E:$E)</f>
        <v>6505.2</v>
      </c>
    </row>
    <row r="13" spans="1:4" ht="15" customHeight="1" x14ac:dyDescent="0.3">
      <c r="B13" t="s">
        <v>41</v>
      </c>
      <c r="C13" t="s">
        <v>42</v>
      </c>
      <c r="D13">
        <f>SUMIF(Data!$A:$A,B13,Data!$E:$E)</f>
        <v>4259.22</v>
      </c>
    </row>
    <row r="14" spans="1:4" ht="15" customHeight="1" x14ac:dyDescent="0.3">
      <c r="B14" t="s">
        <v>43</v>
      </c>
      <c r="C14" t="s">
        <v>44</v>
      </c>
      <c r="D14">
        <f>SUMIF(Data!$A:$A,B14,Data!$E:$E)</f>
        <v>6729.8899999999994</v>
      </c>
    </row>
    <row r="15" spans="1:4" ht="15" customHeight="1" x14ac:dyDescent="0.3">
      <c r="B15" t="s">
        <v>43</v>
      </c>
      <c r="C15" t="s">
        <v>42</v>
      </c>
      <c r="D15">
        <f>SUMIF(Data!$A:$A,B15,Data!$E:$E)</f>
        <v>6729.8899999999994</v>
      </c>
    </row>
    <row r="16" spans="1:4" ht="15" customHeight="1" x14ac:dyDescent="0.3">
      <c r="B16" t="s">
        <v>49</v>
      </c>
      <c r="C16" t="s">
        <v>15</v>
      </c>
      <c r="D16">
        <f>SUMIF(Data!$A:$A,B16,Data!$E:$E)</f>
        <v>5913.68</v>
      </c>
    </row>
    <row r="17" spans="2:4" ht="15" customHeight="1" x14ac:dyDescent="0.3">
      <c r="B17" t="s">
        <v>50</v>
      </c>
      <c r="C17" t="s">
        <v>51</v>
      </c>
      <c r="D17">
        <f>SUMIF(Data!$A:$A,B17,Data!$E:$E)</f>
        <v>5779.05</v>
      </c>
    </row>
    <row r="18" spans="2:4" ht="15" customHeight="1" x14ac:dyDescent="0.3">
      <c r="B18" t="s">
        <v>22</v>
      </c>
      <c r="C18" t="s">
        <v>53</v>
      </c>
      <c r="D18">
        <f>SUMIF(Data!$A:$A,B18,Data!$E:$E)</f>
        <v>6666.130000000001</v>
      </c>
    </row>
    <row r="19" spans="2:4" ht="15" customHeight="1" x14ac:dyDescent="0.3">
      <c r="B19" t="s">
        <v>55</v>
      </c>
      <c r="C19" t="s">
        <v>15</v>
      </c>
      <c r="D19">
        <f>SUMIF(Data!$A:$A,B19,Data!$E:$E)</f>
        <v>9760.7999999999993</v>
      </c>
    </row>
    <row r="20" spans="2:4" ht="15" customHeight="1" x14ac:dyDescent="0.3">
      <c r="B20" t="s">
        <v>33</v>
      </c>
      <c r="C20" t="s">
        <v>57</v>
      </c>
      <c r="D20">
        <f>SUMIF(Data!$A:$A,B20,Data!$E:$E)</f>
        <v>6549.55</v>
      </c>
    </row>
    <row r="21" spans="2:4" ht="15" customHeight="1" x14ac:dyDescent="0.3">
      <c r="B21" t="s">
        <v>58</v>
      </c>
      <c r="C21" t="s">
        <v>59</v>
      </c>
      <c r="D21">
        <f>SUMIF(Data!$A:$A,B21,Data!$E:$E)</f>
        <v>2699.75</v>
      </c>
    </row>
    <row r="22" spans="2:4" ht="15" customHeight="1" x14ac:dyDescent="0.3">
      <c r="B22" t="s">
        <v>29</v>
      </c>
      <c r="C22" t="s">
        <v>62</v>
      </c>
      <c r="D22">
        <f>SUMIF(Data!$A:$A,B22,Data!$E:$E)</f>
        <v>9941.8799999999992</v>
      </c>
    </row>
    <row r="23" spans="2:4" ht="15" customHeight="1" x14ac:dyDescent="0.3">
      <c r="B23" t="s">
        <v>64</v>
      </c>
      <c r="C23" t="s">
        <v>15</v>
      </c>
      <c r="D23">
        <f>SUMIF(Data!$A:$A,B23,Data!$E:$E)</f>
        <v>4418.2800000000007</v>
      </c>
    </row>
    <row r="24" spans="2:4" ht="15" customHeight="1" x14ac:dyDescent="0.3">
      <c r="B24" t="s">
        <v>9</v>
      </c>
      <c r="C24" t="s">
        <v>36</v>
      </c>
      <c r="D24">
        <f>SUMIF(Data!$A:$A,B24,Data!$E:$E)</f>
        <v>4640.1099999999997</v>
      </c>
    </row>
    <row r="25" spans="2:4" ht="15" customHeight="1" x14ac:dyDescent="0.3">
      <c r="B25" t="s">
        <v>49</v>
      </c>
      <c r="C25" t="s">
        <v>36</v>
      </c>
      <c r="D25">
        <f>SUMIF(Data!$A:$A,B25,Data!$E:$E)</f>
        <v>5913.68</v>
      </c>
    </row>
    <row r="26" spans="2:4" ht="15" customHeight="1" x14ac:dyDescent="0.3">
      <c r="B26" t="s">
        <v>14</v>
      </c>
      <c r="C26" t="s">
        <v>36</v>
      </c>
      <c r="D26">
        <f>SUMIF(Data!$A:$A,B26,Data!$E:$E)</f>
        <v>8339</v>
      </c>
    </row>
    <row r="27" spans="2:4" ht="15" customHeight="1" x14ac:dyDescent="0.3">
      <c r="B27" t="s">
        <v>41</v>
      </c>
      <c r="C27" t="s">
        <v>67</v>
      </c>
      <c r="D27">
        <f>SUMIF(Data!$A:$A,B27,Data!$E:$E)</f>
        <v>4259.22</v>
      </c>
    </row>
    <row r="28" spans="2:4" ht="15" customHeight="1" x14ac:dyDescent="0.3">
      <c r="B28" t="s">
        <v>25</v>
      </c>
      <c r="C28" t="s">
        <v>68</v>
      </c>
      <c r="D28">
        <f>SUMIF(Data!$A:$A,B28,Data!$E:$E)</f>
        <v>7928.71</v>
      </c>
    </row>
    <row r="29" spans="2:4" ht="15" customHeight="1" x14ac:dyDescent="0.3">
      <c r="B29" t="s">
        <v>29</v>
      </c>
      <c r="C29" t="s">
        <v>15</v>
      </c>
      <c r="D29">
        <f>SUMIF(Data!$A:$A,B29,Data!$E:$E)</f>
        <v>9941.8799999999992</v>
      </c>
    </row>
    <row r="30" spans="2:4" ht="15" customHeight="1" x14ac:dyDescent="0.3">
      <c r="B30" t="s">
        <v>71</v>
      </c>
      <c r="C30" t="s">
        <v>72</v>
      </c>
      <c r="D30">
        <f>SUMIF(Data!$A:$A,B30,Data!$E:$E)</f>
        <v>10293.870000000001</v>
      </c>
    </row>
    <row r="31" spans="2:4" ht="15" customHeight="1" x14ac:dyDescent="0.3">
      <c r="B31" t="s">
        <v>71</v>
      </c>
      <c r="C31" t="s">
        <v>26</v>
      </c>
      <c r="D31">
        <f>SUMIF(Data!$A:$A,B31,Data!$E:$E)</f>
        <v>10293.870000000001</v>
      </c>
    </row>
    <row r="32" spans="2:4" ht="15" customHeight="1" x14ac:dyDescent="0.3">
      <c r="B32" t="s">
        <v>74</v>
      </c>
      <c r="C32" t="s">
        <v>75</v>
      </c>
      <c r="D32">
        <f>SUMIF(Data!$A:$A,B32,Data!$E:$E)</f>
        <v>6716.52</v>
      </c>
    </row>
    <row r="33" spans="2:4" ht="15" customHeight="1" x14ac:dyDescent="0.3">
      <c r="B33" t="s">
        <v>64</v>
      </c>
      <c r="C33" t="s">
        <v>77</v>
      </c>
      <c r="D33">
        <f>SUMIF(Data!$A:$A,B33,Data!$E:$E)</f>
        <v>4418.2800000000007</v>
      </c>
    </row>
    <row r="34" spans="2:4" ht="15" customHeight="1" x14ac:dyDescent="0.3">
      <c r="B34" t="s">
        <v>33</v>
      </c>
      <c r="C34" t="s">
        <v>59</v>
      </c>
      <c r="D34">
        <f>SUMIF(Data!$A:$A,B34,Data!$E:$E)</f>
        <v>6549.55</v>
      </c>
    </row>
    <row r="35" spans="2:4" ht="15" customHeight="1" x14ac:dyDescent="0.3">
      <c r="B35" t="s">
        <v>79</v>
      </c>
      <c r="C35" t="s">
        <v>53</v>
      </c>
      <c r="D35">
        <f>SUMIF(Data!$A:$A,B35,Data!$E:$E)</f>
        <v>8740.18</v>
      </c>
    </row>
    <row r="36" spans="2:4" ht="15" customHeight="1" x14ac:dyDescent="0.3">
      <c r="B36" t="s">
        <v>81</v>
      </c>
      <c r="C36" t="s">
        <v>72</v>
      </c>
      <c r="D36">
        <f>SUMIF(Data!$A:$A,B36,Data!$E:$E)</f>
        <v>11611.060000000001</v>
      </c>
    </row>
    <row r="37" spans="2:4" ht="15" customHeight="1" x14ac:dyDescent="0.3">
      <c r="B37" t="s">
        <v>14</v>
      </c>
      <c r="C37" t="s">
        <v>30</v>
      </c>
      <c r="D37">
        <f>SUMIF(Data!$A:$A,B37,Data!$E:$E)</f>
        <v>8339</v>
      </c>
    </row>
    <row r="38" spans="2:4" ht="15" customHeight="1" x14ac:dyDescent="0.3">
      <c r="B38" t="s">
        <v>9</v>
      </c>
      <c r="C38" t="s">
        <v>75</v>
      </c>
      <c r="D38">
        <f>SUMIF(Data!$A:$A,B38,Data!$E:$E)</f>
        <v>4640.1099999999997</v>
      </c>
    </row>
    <row r="39" spans="2:4" ht="15" customHeight="1" x14ac:dyDescent="0.3">
      <c r="B39" t="s">
        <v>71</v>
      </c>
      <c r="C39" t="s">
        <v>62</v>
      </c>
      <c r="D39">
        <f>SUMIF(Data!$A:$A,B39,Data!$E:$E)</f>
        <v>10293.870000000001</v>
      </c>
    </row>
    <row r="40" spans="2:4" ht="15" customHeight="1" x14ac:dyDescent="0.3">
      <c r="B40" t="s">
        <v>55</v>
      </c>
      <c r="C40" t="s">
        <v>83</v>
      </c>
      <c r="D40">
        <f>SUMIF(Data!$A:$A,B40,Data!$E:$E)</f>
        <v>9760.7999999999993</v>
      </c>
    </row>
    <row r="41" spans="2:4" ht="15" customHeight="1" x14ac:dyDescent="0.3">
      <c r="B41" t="s">
        <v>84</v>
      </c>
      <c r="C41" t="s">
        <v>85</v>
      </c>
      <c r="D41">
        <f>SUMIF(Data!$A:$A,B41,Data!$E:$E)</f>
        <v>3369.17</v>
      </c>
    </row>
    <row r="42" spans="2:4" ht="15" customHeight="1" x14ac:dyDescent="0.3">
      <c r="B42" t="s">
        <v>22</v>
      </c>
      <c r="C42" t="s">
        <v>51</v>
      </c>
      <c r="D42">
        <f>SUMIF(Data!$A:$A,B42,Data!$E:$E)</f>
        <v>6666.130000000001</v>
      </c>
    </row>
    <row r="43" spans="2:4" ht="15" customHeight="1" x14ac:dyDescent="0.3">
      <c r="B43" t="s">
        <v>49</v>
      </c>
      <c r="C43" t="s">
        <v>77</v>
      </c>
      <c r="D43">
        <f>SUMIF(Data!$A:$A,B43,Data!$E:$E)</f>
        <v>5913.68</v>
      </c>
    </row>
    <row r="44" spans="2:4" ht="15" customHeight="1" x14ac:dyDescent="0.3">
      <c r="B44" t="s">
        <v>79</v>
      </c>
      <c r="C44" t="s">
        <v>26</v>
      </c>
      <c r="D44">
        <f>SUMIF(Data!$A:$A,B44,Data!$E:$E)</f>
        <v>8740.18</v>
      </c>
    </row>
    <row r="45" spans="2:4" ht="15" customHeight="1" x14ac:dyDescent="0.3">
      <c r="B45" t="s">
        <v>35</v>
      </c>
      <c r="C45" t="s">
        <v>85</v>
      </c>
      <c r="D45">
        <f>SUMIF(Data!$A:$A,B45,Data!$E:$E)</f>
        <v>9371.81</v>
      </c>
    </row>
    <row r="46" spans="2:4" ht="15" customHeight="1" x14ac:dyDescent="0.3">
      <c r="B46" t="s">
        <v>18</v>
      </c>
      <c r="C46" t="s">
        <v>90</v>
      </c>
      <c r="D46">
        <f>SUMIF(Data!$A:$A,B46,Data!$E:$E)</f>
        <v>3419.2</v>
      </c>
    </row>
    <row r="47" spans="2:4" ht="15" customHeight="1" x14ac:dyDescent="0.3">
      <c r="B47" t="s">
        <v>74</v>
      </c>
      <c r="C47" t="s">
        <v>77</v>
      </c>
      <c r="D47">
        <f>SUMIF(Data!$A:$A,B47,Data!$E:$E)</f>
        <v>6716.52</v>
      </c>
    </row>
    <row r="48" spans="2:4" ht="15" customHeight="1" x14ac:dyDescent="0.3">
      <c r="B48" t="s">
        <v>92</v>
      </c>
      <c r="C48" t="s">
        <v>36</v>
      </c>
      <c r="D48">
        <f>SUMIF(Data!$A:$A,B48,Data!$E:$E)</f>
        <v>3762.2900000000004</v>
      </c>
    </row>
    <row r="49" spans="2:4" ht="15" customHeight="1" x14ac:dyDescent="0.3">
      <c r="B49" t="s">
        <v>79</v>
      </c>
      <c r="C49" t="s">
        <v>30</v>
      </c>
      <c r="D49">
        <f>SUMIF(Data!$A:$A,B49,Data!$E:$E)</f>
        <v>8740.18</v>
      </c>
    </row>
    <row r="50" spans="2:4" ht="15" customHeight="1" x14ac:dyDescent="0.3">
      <c r="B50" t="s">
        <v>55</v>
      </c>
      <c r="C50" t="s">
        <v>68</v>
      </c>
      <c r="D50">
        <f>SUMIF(Data!$A:$A,B50,Data!$E:$E)</f>
        <v>9760.7999999999993</v>
      </c>
    </row>
    <row r="51" spans="2:4" ht="15" customHeight="1" x14ac:dyDescent="0.3">
      <c r="B51" t="s">
        <v>29</v>
      </c>
      <c r="C51" t="s">
        <v>39</v>
      </c>
      <c r="D51">
        <f>SUMIF(Data!$A:$A,B51,Data!$E:$E)</f>
        <v>9941.8799999999992</v>
      </c>
    </row>
    <row r="52" spans="2:4" ht="15" customHeight="1" x14ac:dyDescent="0.3">
      <c r="B52" t="s">
        <v>81</v>
      </c>
      <c r="C52" t="s">
        <v>26</v>
      </c>
      <c r="D52">
        <f>SUMIF(Data!$A:$A,B52,Data!$E:$E)</f>
        <v>11611.060000000001</v>
      </c>
    </row>
    <row r="53" spans="2:4" ht="15" customHeight="1" x14ac:dyDescent="0.3">
      <c r="B53" t="s">
        <v>25</v>
      </c>
      <c r="C53" t="s">
        <v>98</v>
      </c>
      <c r="D53">
        <f>SUMIF(Data!$A:$A,B53,Data!$E:$E)</f>
        <v>7928.71</v>
      </c>
    </row>
    <row r="54" spans="2:4" ht="15" customHeight="1" x14ac:dyDescent="0.3">
      <c r="B54" t="s">
        <v>100</v>
      </c>
      <c r="C54" t="s">
        <v>62</v>
      </c>
      <c r="D54">
        <f>SUMIF(Data!$A:$A,B54,Data!$E:$E)</f>
        <v>6481.43</v>
      </c>
    </row>
    <row r="55" spans="2:4" ht="15" customHeight="1" x14ac:dyDescent="0.3">
      <c r="B55" t="s">
        <v>38</v>
      </c>
      <c r="C55" t="s">
        <v>44</v>
      </c>
      <c r="D55">
        <f>SUMIF(Data!$A:$A,B55,Data!$E:$E)</f>
        <v>6505.2</v>
      </c>
    </row>
    <row r="56" spans="2:4" ht="15" customHeight="1" x14ac:dyDescent="0.3">
      <c r="B56" t="s">
        <v>25</v>
      </c>
      <c r="C56" t="s">
        <v>103</v>
      </c>
      <c r="D56">
        <f>SUMIF(Data!$A:$A,B56,Data!$E:$E)</f>
        <v>7928.71</v>
      </c>
    </row>
    <row r="57" spans="2:4" ht="15" customHeight="1" x14ac:dyDescent="0.3">
      <c r="B57" t="s">
        <v>50</v>
      </c>
      <c r="C57" t="s">
        <v>98</v>
      </c>
      <c r="D57">
        <f>SUMIF(Data!$A:$A,B57,Data!$E:$E)</f>
        <v>5779.05</v>
      </c>
    </row>
    <row r="58" spans="2:4" ht="15" customHeight="1" x14ac:dyDescent="0.3">
      <c r="B58" t="s">
        <v>106</v>
      </c>
      <c r="C58" t="s">
        <v>44</v>
      </c>
      <c r="D58">
        <f>SUMIF(Data!$A:$A,B58,Data!$E:$E)</f>
        <v>8490.18</v>
      </c>
    </row>
    <row r="59" spans="2:4" ht="15" customHeight="1" x14ac:dyDescent="0.3">
      <c r="B59" t="s">
        <v>14</v>
      </c>
      <c r="C59" t="s">
        <v>83</v>
      </c>
      <c r="D59">
        <f>SUMIF(Data!$A:$A,B59,Data!$E:$E)</f>
        <v>8339</v>
      </c>
    </row>
    <row r="60" spans="2:4" ht="15" customHeight="1" x14ac:dyDescent="0.3">
      <c r="B60" t="s">
        <v>79</v>
      </c>
      <c r="C60" t="s">
        <v>36</v>
      </c>
      <c r="D60">
        <f>SUMIF(Data!$A:$A,B60,Data!$E:$E)</f>
        <v>8740.18</v>
      </c>
    </row>
    <row r="61" spans="2:4" ht="15" customHeight="1" x14ac:dyDescent="0.3">
      <c r="B61" t="s">
        <v>41</v>
      </c>
      <c r="C61" t="s">
        <v>75</v>
      </c>
      <c r="D61">
        <f>SUMIF(Data!$A:$A,B61,Data!$E:$E)</f>
        <v>4259.22</v>
      </c>
    </row>
    <row r="62" spans="2:4" ht="15" customHeight="1" x14ac:dyDescent="0.3">
      <c r="B62" t="s">
        <v>106</v>
      </c>
      <c r="C62" t="s">
        <v>10</v>
      </c>
      <c r="D62">
        <f>SUMIF(Data!$A:$A,B62,Data!$E:$E)</f>
        <v>8490.18</v>
      </c>
    </row>
    <row r="63" spans="2:4" ht="15" customHeight="1" x14ac:dyDescent="0.3">
      <c r="B63" t="s">
        <v>50</v>
      </c>
      <c r="C63" t="s">
        <v>85</v>
      </c>
      <c r="D63">
        <f>SUMIF(Data!$A:$A,B63,Data!$E:$E)</f>
        <v>5779.05</v>
      </c>
    </row>
    <row r="64" spans="2:4" ht="15" customHeight="1" x14ac:dyDescent="0.3">
      <c r="B64" t="s">
        <v>106</v>
      </c>
      <c r="C64" t="s">
        <v>26</v>
      </c>
      <c r="D64">
        <f>SUMIF(Data!$A:$A,B64,Data!$E:$E)</f>
        <v>8490.18</v>
      </c>
    </row>
    <row r="65" spans="2:4" ht="15" customHeight="1" x14ac:dyDescent="0.3">
      <c r="B65" t="s">
        <v>100</v>
      </c>
      <c r="C65" t="s">
        <v>36</v>
      </c>
      <c r="D65">
        <f>SUMIF(Data!$A:$A,B65,Data!$E:$E)</f>
        <v>6481.43</v>
      </c>
    </row>
    <row r="66" spans="2:4" ht="15" customHeight="1" x14ac:dyDescent="0.3">
      <c r="B66" t="s">
        <v>114</v>
      </c>
      <c r="C66" t="s">
        <v>75</v>
      </c>
      <c r="D66">
        <f>SUMIF(Data!$A:$A,B66,Data!$E:$E)</f>
        <v>4413.71</v>
      </c>
    </row>
    <row r="67" spans="2:4" ht="15" customHeight="1" x14ac:dyDescent="0.3">
      <c r="B67" t="s">
        <v>79</v>
      </c>
      <c r="C67" t="s">
        <v>59</v>
      </c>
      <c r="D67">
        <f>SUMIF(Data!$A:$A,B67,Data!$E:$E)</f>
        <v>8740.18</v>
      </c>
    </row>
    <row r="68" spans="2:4" ht="15" customHeight="1" x14ac:dyDescent="0.3">
      <c r="B68" t="s">
        <v>55</v>
      </c>
      <c r="C68" t="s">
        <v>10</v>
      </c>
      <c r="D68">
        <f>SUMIF(Data!$A:$A,B68,Data!$E:$E)</f>
        <v>9760.7999999999993</v>
      </c>
    </row>
    <row r="69" spans="2:4" ht="15" customHeight="1" x14ac:dyDescent="0.3">
      <c r="B69" t="s">
        <v>25</v>
      </c>
      <c r="C69" t="s">
        <v>75</v>
      </c>
      <c r="D69">
        <f>SUMIF(Data!$A:$A,B69,Data!$E:$E)</f>
        <v>7928.71</v>
      </c>
    </row>
    <row r="70" spans="2:4" ht="15" customHeight="1" x14ac:dyDescent="0.3">
      <c r="B70" t="s">
        <v>114</v>
      </c>
      <c r="C70" t="s">
        <v>118</v>
      </c>
      <c r="D70">
        <f>SUMIF(Data!$A:$A,B70,Data!$E:$E)</f>
        <v>4413.71</v>
      </c>
    </row>
    <row r="71" spans="2:4" ht="15" customHeight="1" x14ac:dyDescent="0.3">
      <c r="B71" t="s">
        <v>120</v>
      </c>
      <c r="C71" t="s">
        <v>75</v>
      </c>
      <c r="D71">
        <f>SUMIF(Data!$A:$A,B71,Data!$E:$E)</f>
        <v>7583.1299999999992</v>
      </c>
    </row>
    <row r="72" spans="2:4" ht="15" customHeight="1" x14ac:dyDescent="0.3">
      <c r="B72" t="s">
        <v>14</v>
      </c>
      <c r="C72" t="s">
        <v>122</v>
      </c>
      <c r="D72">
        <f>SUMIF(Data!$A:$A,B72,Data!$E:$E)</f>
        <v>8339</v>
      </c>
    </row>
    <row r="73" spans="2:4" ht="15" customHeight="1" x14ac:dyDescent="0.3">
      <c r="B73" t="s">
        <v>120</v>
      </c>
      <c r="C73" t="s">
        <v>44</v>
      </c>
      <c r="D73">
        <f>SUMIF(Data!$A:$A,B73,Data!$E:$E)</f>
        <v>7583.1299999999992</v>
      </c>
    </row>
    <row r="74" spans="2:4" ht="15" customHeight="1" x14ac:dyDescent="0.3">
      <c r="B74" t="s">
        <v>14</v>
      </c>
      <c r="C74" t="s">
        <v>34</v>
      </c>
      <c r="D74">
        <f>SUMIF(Data!$A:$A,B74,Data!$E:$E)</f>
        <v>8339</v>
      </c>
    </row>
    <row r="75" spans="2:4" ht="15" customHeight="1" x14ac:dyDescent="0.3">
      <c r="B75" t="s">
        <v>22</v>
      </c>
      <c r="C75" t="s">
        <v>72</v>
      </c>
      <c r="D75">
        <f>SUMIF(Data!$A:$A,B75,Data!$E:$E)</f>
        <v>6666.130000000001</v>
      </c>
    </row>
    <row r="76" spans="2:4" ht="15" customHeight="1" x14ac:dyDescent="0.3">
      <c r="B76" t="s">
        <v>126</v>
      </c>
      <c r="C76" t="s">
        <v>57</v>
      </c>
      <c r="D76">
        <f>SUMIF(Data!$A:$A,B76,Data!$E:$E)</f>
        <v>7813.59</v>
      </c>
    </row>
    <row r="77" spans="2:4" ht="15" customHeight="1" x14ac:dyDescent="0.3">
      <c r="B77" t="s">
        <v>35</v>
      </c>
      <c r="C77" t="s">
        <v>34</v>
      </c>
      <c r="D77">
        <f>SUMIF(Data!$A:$A,B77,Data!$E:$E)</f>
        <v>9371.81</v>
      </c>
    </row>
    <row r="78" spans="2:4" ht="15" customHeight="1" x14ac:dyDescent="0.3">
      <c r="B78" t="s">
        <v>25</v>
      </c>
      <c r="C78" t="s">
        <v>36</v>
      </c>
      <c r="D78">
        <f>SUMIF(Data!$A:$A,B78,Data!$E:$E)</f>
        <v>7928.71</v>
      </c>
    </row>
    <row r="79" spans="2:4" ht="15" customHeight="1" x14ac:dyDescent="0.3">
      <c r="B79" t="s">
        <v>29</v>
      </c>
      <c r="C79" t="s">
        <v>75</v>
      </c>
      <c r="D79">
        <f>SUMIF(Data!$A:$A,B79,Data!$E:$E)</f>
        <v>9941.8799999999992</v>
      </c>
    </row>
    <row r="80" spans="2:4" ht="15" customHeight="1" x14ac:dyDescent="0.3">
      <c r="B80" t="s">
        <v>114</v>
      </c>
      <c r="C80" t="s">
        <v>39</v>
      </c>
      <c r="D80">
        <f>SUMIF(Data!$A:$A,B80,Data!$E:$E)</f>
        <v>4413.71</v>
      </c>
    </row>
    <row r="81" spans="2:4" ht="15" customHeight="1" x14ac:dyDescent="0.3">
      <c r="B81" t="s">
        <v>71</v>
      </c>
      <c r="C81" t="s">
        <v>67</v>
      </c>
      <c r="D81">
        <f>SUMIF(Data!$A:$A,B81,Data!$E:$E)</f>
        <v>10293.870000000001</v>
      </c>
    </row>
    <row r="82" spans="2:4" ht="15" customHeight="1" x14ac:dyDescent="0.3">
      <c r="B82" t="s">
        <v>22</v>
      </c>
      <c r="C82" t="s">
        <v>62</v>
      </c>
      <c r="D82">
        <f>SUMIF(Data!$A:$A,B82,Data!$E:$E)</f>
        <v>6666.130000000001</v>
      </c>
    </row>
    <row r="83" spans="2:4" ht="15" customHeight="1" x14ac:dyDescent="0.3">
      <c r="B83" t="s">
        <v>81</v>
      </c>
      <c r="C83" t="s">
        <v>42</v>
      </c>
      <c r="D83">
        <f>SUMIF(Data!$A:$A,B83,Data!$E:$E)</f>
        <v>11611.060000000001</v>
      </c>
    </row>
    <row r="84" spans="2:4" ht="15" customHeight="1" x14ac:dyDescent="0.3">
      <c r="B84" t="s">
        <v>49</v>
      </c>
      <c r="C84" t="s">
        <v>75</v>
      </c>
      <c r="D84">
        <f>SUMIF(Data!$A:$A,B84,Data!$E:$E)</f>
        <v>5913.68</v>
      </c>
    </row>
    <row r="85" spans="2:4" ht="15" customHeight="1" x14ac:dyDescent="0.3">
      <c r="B85" t="s">
        <v>126</v>
      </c>
      <c r="C85" t="s">
        <v>98</v>
      </c>
      <c r="D85">
        <f>SUMIF(Data!$A:$A,B85,Data!$E:$E)</f>
        <v>7813.59</v>
      </c>
    </row>
    <row r="86" spans="2:4" ht="15" customHeight="1" x14ac:dyDescent="0.3">
      <c r="B86" t="s">
        <v>49</v>
      </c>
      <c r="C86" t="s">
        <v>26</v>
      </c>
      <c r="D86">
        <f>SUMIF(Data!$A:$A,B86,Data!$E:$E)</f>
        <v>5913.68</v>
      </c>
    </row>
    <row r="87" spans="2:4" ht="15" customHeight="1" x14ac:dyDescent="0.3">
      <c r="B87" t="s">
        <v>64</v>
      </c>
      <c r="C87" t="s">
        <v>67</v>
      </c>
      <c r="D87">
        <f>SUMIF(Data!$A:$A,B87,Data!$E:$E)</f>
        <v>4418.2800000000007</v>
      </c>
    </row>
    <row r="88" spans="2:4" ht="15" customHeight="1" x14ac:dyDescent="0.3">
      <c r="B88" t="s">
        <v>29</v>
      </c>
      <c r="C88" t="s">
        <v>103</v>
      </c>
      <c r="D88">
        <f>SUMIF(Data!$A:$A,B88,Data!$E:$E)</f>
        <v>9941.8799999999992</v>
      </c>
    </row>
    <row r="89" spans="2:4" ht="15" customHeight="1" x14ac:dyDescent="0.3">
      <c r="B89" t="s">
        <v>137</v>
      </c>
      <c r="C89" t="s">
        <v>15</v>
      </c>
      <c r="D89">
        <f>SUMIF(Data!$A:$A,B89,Data!$E:$E)</f>
        <v>4162.4400000000005</v>
      </c>
    </row>
    <row r="90" spans="2:4" ht="15" customHeight="1" x14ac:dyDescent="0.3">
      <c r="B90" t="s">
        <v>139</v>
      </c>
      <c r="C90" t="s">
        <v>44</v>
      </c>
      <c r="D90">
        <f>SUMIF(Data!$A:$A,B90,Data!$E:$E)</f>
        <v>3906.04</v>
      </c>
    </row>
    <row r="91" spans="2:4" ht="15" customHeight="1" x14ac:dyDescent="0.3">
      <c r="B91" t="s">
        <v>141</v>
      </c>
      <c r="C91" t="s">
        <v>59</v>
      </c>
      <c r="D91">
        <f>SUMIF(Data!$A:$A,B91,Data!$E:$E)</f>
        <v>4951.8899999999994</v>
      </c>
    </row>
    <row r="92" spans="2:4" ht="15" customHeight="1" x14ac:dyDescent="0.3">
      <c r="B92" t="s">
        <v>114</v>
      </c>
      <c r="C92" t="s">
        <v>19</v>
      </c>
      <c r="D92">
        <f>SUMIF(Data!$A:$A,B92,Data!$E:$E)</f>
        <v>4413.71</v>
      </c>
    </row>
    <row r="93" spans="2:4" ht="15" customHeight="1" x14ac:dyDescent="0.3">
      <c r="B93" t="s">
        <v>18</v>
      </c>
      <c r="C93" t="s">
        <v>98</v>
      </c>
      <c r="D93">
        <f>SUMIF(Data!$A:$A,B93,Data!$E:$E)</f>
        <v>3419.2</v>
      </c>
    </row>
    <row r="94" spans="2:4" ht="15" customHeight="1" x14ac:dyDescent="0.3">
      <c r="B94" t="s">
        <v>84</v>
      </c>
      <c r="C94" t="s">
        <v>30</v>
      </c>
      <c r="D94">
        <f>SUMIF(Data!$A:$A,B94,Data!$E:$E)</f>
        <v>3369.17</v>
      </c>
    </row>
    <row r="95" spans="2:4" ht="15" customHeight="1" x14ac:dyDescent="0.3">
      <c r="B95" t="s">
        <v>55</v>
      </c>
      <c r="C95" t="s">
        <v>77</v>
      </c>
      <c r="D95">
        <f>SUMIF(Data!$A:$A,B95,Data!$E:$E)</f>
        <v>9760.7999999999993</v>
      </c>
    </row>
    <row r="96" spans="2:4" ht="15" customHeight="1" x14ac:dyDescent="0.3">
      <c r="B96" t="s">
        <v>14</v>
      </c>
      <c r="C96" t="s">
        <v>62</v>
      </c>
      <c r="D96">
        <f>SUMIF(Data!$A:$A,B96,Data!$E:$E)</f>
        <v>8339</v>
      </c>
    </row>
    <row r="97" spans="2:4" ht="15" customHeight="1" x14ac:dyDescent="0.3">
      <c r="B97" t="s">
        <v>74</v>
      </c>
      <c r="C97" t="s">
        <v>59</v>
      </c>
      <c r="D97">
        <f>SUMIF(Data!$A:$A,B97,Data!$E:$E)</f>
        <v>6716.52</v>
      </c>
    </row>
    <row r="98" spans="2:4" ht="15" customHeight="1" x14ac:dyDescent="0.3">
      <c r="B98" t="s">
        <v>43</v>
      </c>
      <c r="C98" t="s">
        <v>98</v>
      </c>
      <c r="D98">
        <f>SUMIF(Data!$A:$A,B98,Data!$E:$E)</f>
        <v>6729.8899999999994</v>
      </c>
    </row>
    <row r="99" spans="2:4" ht="15" customHeight="1" x14ac:dyDescent="0.3">
      <c r="B99" t="s">
        <v>55</v>
      </c>
      <c r="C99" t="s">
        <v>26</v>
      </c>
      <c r="D99">
        <f>SUMIF(Data!$A:$A,B99,Data!$E:$E)</f>
        <v>9760.7999999999993</v>
      </c>
    </row>
    <row r="100" spans="2:4" ht="15" customHeight="1" x14ac:dyDescent="0.3">
      <c r="B100" t="s">
        <v>74</v>
      </c>
      <c r="C100" t="s">
        <v>103</v>
      </c>
      <c r="D100">
        <f>SUMIF(Data!$A:$A,B100,Data!$E:$E)</f>
        <v>6716.52</v>
      </c>
    </row>
    <row r="101" spans="2:4" ht="15" customHeight="1" x14ac:dyDescent="0.3">
      <c r="B101" t="s">
        <v>9</v>
      </c>
      <c r="C101" t="s">
        <v>39</v>
      </c>
      <c r="D101">
        <f>SUMIF(Data!$A:$A,B101,Data!$E:$E)</f>
        <v>4640.1099999999997</v>
      </c>
    </row>
    <row r="102" spans="2:4" ht="15" customHeight="1" x14ac:dyDescent="0.3">
      <c r="B102" t="s">
        <v>120</v>
      </c>
      <c r="C102" t="s">
        <v>103</v>
      </c>
      <c r="D102">
        <f>SUMIF(Data!$A:$A,B102,Data!$E:$E)</f>
        <v>7583.1299999999992</v>
      </c>
    </row>
    <row r="103" spans="2:4" ht="15" customHeight="1" x14ac:dyDescent="0.3">
      <c r="B103" t="s">
        <v>139</v>
      </c>
      <c r="C103" t="s">
        <v>26</v>
      </c>
      <c r="D103">
        <f>SUMIF(Data!$A:$A,B103,Data!$E:$E)</f>
        <v>3906.04</v>
      </c>
    </row>
    <row r="104" spans="2:4" ht="15" customHeight="1" x14ac:dyDescent="0.3">
      <c r="B104" t="s">
        <v>58</v>
      </c>
      <c r="C104" t="s">
        <v>122</v>
      </c>
      <c r="D104">
        <f>SUMIF(Data!$A:$A,B104,Data!$E:$E)</f>
        <v>2699.75</v>
      </c>
    </row>
    <row r="105" spans="2:4" ht="15" customHeight="1" x14ac:dyDescent="0.3">
      <c r="B105" t="s">
        <v>106</v>
      </c>
      <c r="C105" t="s">
        <v>118</v>
      </c>
      <c r="D105">
        <f>SUMIF(Data!$A:$A,B105,Data!$E:$E)</f>
        <v>8490.18</v>
      </c>
    </row>
    <row r="106" spans="2:4" ht="15" customHeight="1" x14ac:dyDescent="0.3">
      <c r="B106" t="s">
        <v>14</v>
      </c>
      <c r="C106" t="s">
        <v>75</v>
      </c>
      <c r="D106">
        <f>SUMIF(Data!$A:$A,B106,Data!$E:$E)</f>
        <v>8339</v>
      </c>
    </row>
    <row r="107" spans="2:4" ht="15" customHeight="1" x14ac:dyDescent="0.3">
      <c r="B107" t="s">
        <v>137</v>
      </c>
      <c r="C107" t="s">
        <v>34</v>
      </c>
      <c r="D107">
        <f>SUMIF(Data!$A:$A,B107,Data!$E:$E)</f>
        <v>4162.4400000000005</v>
      </c>
    </row>
    <row r="108" spans="2:4" ht="15" customHeight="1" x14ac:dyDescent="0.3">
      <c r="B108" t="s">
        <v>74</v>
      </c>
      <c r="C108" t="s">
        <v>62</v>
      </c>
      <c r="D108">
        <f>SUMIF(Data!$A:$A,B108,Data!$E:$E)</f>
        <v>6716.52</v>
      </c>
    </row>
    <row r="109" spans="2:4" ht="15" customHeight="1" x14ac:dyDescent="0.3">
      <c r="B109" t="s">
        <v>35</v>
      </c>
      <c r="C109" t="s">
        <v>83</v>
      </c>
      <c r="D109">
        <f>SUMIF(Data!$A:$A,B109,Data!$E:$E)</f>
        <v>9371.81</v>
      </c>
    </row>
    <row r="110" spans="2:4" ht="15" customHeight="1" x14ac:dyDescent="0.3">
      <c r="B110" t="s">
        <v>74</v>
      </c>
      <c r="C110" t="s">
        <v>57</v>
      </c>
      <c r="D110">
        <f>SUMIF(Data!$A:$A,B110,Data!$E:$E)</f>
        <v>6716.52</v>
      </c>
    </row>
    <row r="111" spans="2:4" ht="15" customHeight="1" x14ac:dyDescent="0.3">
      <c r="B111" t="s">
        <v>9</v>
      </c>
      <c r="C111" t="s">
        <v>19</v>
      </c>
      <c r="D111">
        <f>SUMIF(Data!$A:$A,B111,Data!$E:$E)</f>
        <v>4640.1099999999997</v>
      </c>
    </row>
    <row r="112" spans="2:4" ht="15" customHeight="1" x14ac:dyDescent="0.3">
      <c r="B112" t="s">
        <v>126</v>
      </c>
      <c r="C112" t="s">
        <v>19</v>
      </c>
      <c r="D112">
        <f>SUMIF(Data!$A:$A,B112,Data!$E:$E)</f>
        <v>7813.59</v>
      </c>
    </row>
    <row r="113" spans="2:4" ht="15" customHeight="1" x14ac:dyDescent="0.3">
      <c r="B113" t="s">
        <v>120</v>
      </c>
      <c r="C113" t="s">
        <v>26</v>
      </c>
      <c r="D113">
        <f>SUMIF(Data!$A:$A,B113,Data!$E:$E)</f>
        <v>7583.1299999999992</v>
      </c>
    </row>
    <row r="114" spans="2:4" ht="15" customHeight="1" x14ac:dyDescent="0.3">
      <c r="B114" t="s">
        <v>100</v>
      </c>
      <c r="C114" t="s">
        <v>67</v>
      </c>
      <c r="D114">
        <f>SUMIF(Data!$A:$A,B114,Data!$E:$E)</f>
        <v>6481.43</v>
      </c>
    </row>
    <row r="115" spans="2:4" ht="15" customHeight="1" x14ac:dyDescent="0.3">
      <c r="B115" t="s">
        <v>38</v>
      </c>
      <c r="C115" t="s">
        <v>85</v>
      </c>
      <c r="D115">
        <f>SUMIF(Data!$A:$A,B115,Data!$E:$E)</f>
        <v>6505.2</v>
      </c>
    </row>
    <row r="116" spans="2:4" ht="15" customHeight="1" x14ac:dyDescent="0.3">
      <c r="B116" t="s">
        <v>50</v>
      </c>
      <c r="C116" t="s">
        <v>57</v>
      </c>
      <c r="D116">
        <f>SUMIF(Data!$A:$A,B116,Data!$E:$E)</f>
        <v>5779.05</v>
      </c>
    </row>
    <row r="117" spans="2:4" ht="15" customHeight="1" x14ac:dyDescent="0.3">
      <c r="B117" t="s">
        <v>92</v>
      </c>
      <c r="C117" t="s">
        <v>85</v>
      </c>
      <c r="D117">
        <f>SUMIF(Data!$A:$A,B117,Data!$E:$E)</f>
        <v>3762.2900000000004</v>
      </c>
    </row>
    <row r="118" spans="2:4" ht="15" customHeight="1" x14ac:dyDescent="0.3">
      <c r="B118" t="s">
        <v>79</v>
      </c>
      <c r="C118" t="s">
        <v>44</v>
      </c>
      <c r="D118">
        <f>SUMIF(Data!$A:$A,B118,Data!$E:$E)</f>
        <v>8740.18</v>
      </c>
    </row>
    <row r="119" spans="2:4" ht="15" customHeight="1" x14ac:dyDescent="0.3">
      <c r="B119" t="s">
        <v>43</v>
      </c>
      <c r="C119" t="s">
        <v>122</v>
      </c>
      <c r="D119">
        <f>SUMIF(Data!$A:$A,B119,Data!$E:$E)</f>
        <v>6729.8899999999994</v>
      </c>
    </row>
    <row r="120" spans="2:4" ht="15" customHeight="1" x14ac:dyDescent="0.3">
      <c r="B120" t="s">
        <v>141</v>
      </c>
      <c r="C120" t="s">
        <v>57</v>
      </c>
      <c r="D120">
        <f>SUMIF(Data!$A:$A,B120,Data!$E:$E)</f>
        <v>4951.8899999999994</v>
      </c>
    </row>
    <row r="121" spans="2:4" ht="15" customHeight="1" x14ac:dyDescent="0.3">
      <c r="B121" t="s">
        <v>33</v>
      </c>
      <c r="C121" t="s">
        <v>53</v>
      </c>
      <c r="D121">
        <f>SUMIF(Data!$A:$A,B121,Data!$E:$E)</f>
        <v>6549.55</v>
      </c>
    </row>
    <row r="122" spans="2:4" ht="15" customHeight="1" x14ac:dyDescent="0.3">
      <c r="B122" t="s">
        <v>29</v>
      </c>
      <c r="C122" t="s">
        <v>44</v>
      </c>
      <c r="D122">
        <f>SUMIF(Data!$A:$A,B122,Data!$E:$E)</f>
        <v>9941.8799999999992</v>
      </c>
    </row>
    <row r="123" spans="2:4" ht="15" customHeight="1" x14ac:dyDescent="0.3">
      <c r="B123" t="s">
        <v>81</v>
      </c>
      <c r="C123" t="s">
        <v>122</v>
      </c>
      <c r="D123">
        <f>SUMIF(Data!$A:$A,B123,Data!$E:$E)</f>
        <v>11611.060000000001</v>
      </c>
    </row>
    <row r="124" spans="2:4" ht="15" customHeight="1" x14ac:dyDescent="0.3">
      <c r="B124" t="s">
        <v>81</v>
      </c>
      <c r="C124" t="s">
        <v>44</v>
      </c>
      <c r="D124">
        <f>SUMIF(Data!$A:$A,B124,Data!$E:$E)</f>
        <v>11611.060000000001</v>
      </c>
    </row>
    <row r="125" spans="2:4" ht="15" customHeight="1" x14ac:dyDescent="0.3">
      <c r="B125" t="s">
        <v>100</v>
      </c>
      <c r="C125" t="s">
        <v>85</v>
      </c>
      <c r="D125">
        <f>SUMIF(Data!$A:$A,B125,Data!$E:$E)</f>
        <v>6481.43</v>
      </c>
    </row>
    <row r="126" spans="2:4" ht="15" customHeight="1" x14ac:dyDescent="0.3">
      <c r="B126" t="s">
        <v>33</v>
      </c>
      <c r="C126" t="s">
        <v>30</v>
      </c>
      <c r="D126">
        <f>SUMIF(Data!$A:$A,B126,Data!$E:$E)</f>
        <v>6549.55</v>
      </c>
    </row>
    <row r="127" spans="2:4" ht="15" customHeight="1" x14ac:dyDescent="0.3">
      <c r="B127" t="s">
        <v>139</v>
      </c>
      <c r="C127" t="s">
        <v>34</v>
      </c>
      <c r="D127">
        <f>SUMIF(Data!$A:$A,B127,Data!$E:$E)</f>
        <v>3906.04</v>
      </c>
    </row>
    <row r="128" spans="2:4" ht="15" customHeight="1" x14ac:dyDescent="0.3">
      <c r="B128" t="s">
        <v>35</v>
      </c>
      <c r="C128" t="s">
        <v>103</v>
      </c>
      <c r="D128">
        <f>SUMIF(Data!$A:$A,B128,Data!$E:$E)</f>
        <v>9371.81</v>
      </c>
    </row>
    <row r="129" spans="2:4" ht="15" customHeight="1" x14ac:dyDescent="0.3">
      <c r="B129" t="s">
        <v>35</v>
      </c>
      <c r="C129" t="s">
        <v>53</v>
      </c>
      <c r="D129">
        <f>SUMIF(Data!$A:$A,B129,Data!$E:$E)</f>
        <v>9371.81</v>
      </c>
    </row>
    <row r="130" spans="2:4" ht="15" customHeight="1" x14ac:dyDescent="0.3">
      <c r="B130" t="s">
        <v>64</v>
      </c>
      <c r="C130" t="s">
        <v>57</v>
      </c>
      <c r="D130">
        <f>SUMIF(Data!$A:$A,B130,Data!$E:$E)</f>
        <v>4418.2800000000007</v>
      </c>
    </row>
    <row r="131" spans="2:4" ht="15" customHeight="1" x14ac:dyDescent="0.3">
      <c r="B131" t="s">
        <v>126</v>
      </c>
      <c r="C131" t="s">
        <v>36</v>
      </c>
      <c r="D131">
        <f>SUMIF(Data!$A:$A,B131,Data!$E:$E)</f>
        <v>7813.59</v>
      </c>
    </row>
    <row r="132" spans="2:4" ht="15" customHeight="1" x14ac:dyDescent="0.3">
      <c r="B132" t="s">
        <v>33</v>
      </c>
      <c r="C132" t="s">
        <v>122</v>
      </c>
      <c r="D132">
        <f>SUMIF(Data!$A:$A,B132,Data!$E:$E)</f>
        <v>6549.55</v>
      </c>
    </row>
    <row r="133" spans="2:4" ht="15" customHeight="1" x14ac:dyDescent="0.3">
      <c r="B133" t="s">
        <v>64</v>
      </c>
      <c r="C133" t="s">
        <v>26</v>
      </c>
      <c r="D133">
        <f>SUMIF(Data!$A:$A,B133,Data!$E:$E)</f>
        <v>4418.2800000000007</v>
      </c>
    </row>
    <row r="134" spans="2:4" ht="15" customHeight="1" x14ac:dyDescent="0.3">
      <c r="B134" t="s">
        <v>92</v>
      </c>
      <c r="C134" t="s">
        <v>118</v>
      </c>
      <c r="D134">
        <f>SUMIF(Data!$A:$A,B134,Data!$E:$E)</f>
        <v>3762.2900000000004</v>
      </c>
    </row>
    <row r="135" spans="2:4" ht="15" customHeight="1" x14ac:dyDescent="0.3">
      <c r="B135" t="s">
        <v>92</v>
      </c>
      <c r="C135" t="s">
        <v>34</v>
      </c>
      <c r="D135">
        <f>SUMIF(Data!$A:$A,B135,Data!$E:$E)</f>
        <v>3762.2900000000004</v>
      </c>
    </row>
    <row r="136" spans="2:4" ht="15" customHeight="1" x14ac:dyDescent="0.3">
      <c r="B136" t="s">
        <v>84</v>
      </c>
      <c r="C136" t="s">
        <v>19</v>
      </c>
      <c r="D136">
        <f>SUMIF(Data!$A:$A,B136,Data!$E:$E)</f>
        <v>3369.17</v>
      </c>
    </row>
    <row r="137" spans="2:4" ht="15" customHeight="1" x14ac:dyDescent="0.3">
      <c r="B137" t="s">
        <v>41</v>
      </c>
      <c r="C137" t="s">
        <v>34</v>
      </c>
      <c r="D137">
        <f>SUMIF(Data!$A:$A,B137,Data!$E:$E)</f>
        <v>4259.22</v>
      </c>
    </row>
    <row r="138" spans="2:4" ht="15" customHeight="1" x14ac:dyDescent="0.3">
      <c r="B138" t="s">
        <v>137</v>
      </c>
      <c r="C138" t="s">
        <v>83</v>
      </c>
      <c r="D138">
        <f>SUMIF(Data!$A:$A,B138,Data!$E:$E)</f>
        <v>4162.4400000000005</v>
      </c>
    </row>
    <row r="139" spans="2:4" ht="15" customHeight="1" x14ac:dyDescent="0.3">
      <c r="B139" t="s">
        <v>81</v>
      </c>
      <c r="C139" t="s">
        <v>15</v>
      </c>
      <c r="D139">
        <f>SUMIF(Data!$A:$A,B139,Data!$E:$E)</f>
        <v>11611.060000000001</v>
      </c>
    </row>
    <row r="140" spans="2:4" ht="15" customHeight="1" x14ac:dyDescent="0.3">
      <c r="B140" t="s">
        <v>55</v>
      </c>
      <c r="C140" t="s">
        <v>57</v>
      </c>
      <c r="D140">
        <f>SUMIF(Data!$A:$A,B140,Data!$E:$E)</f>
        <v>9760.7999999999993</v>
      </c>
    </row>
    <row r="141" spans="2:4" ht="15" customHeight="1" x14ac:dyDescent="0.3">
      <c r="B141" t="s">
        <v>55</v>
      </c>
      <c r="C141" t="s">
        <v>36</v>
      </c>
      <c r="D141">
        <f>SUMIF(Data!$A:$A,B141,Data!$E:$E)</f>
        <v>9760.7999999999993</v>
      </c>
    </row>
    <row r="142" spans="2:4" ht="15" customHeight="1" x14ac:dyDescent="0.3">
      <c r="B142" t="s">
        <v>49</v>
      </c>
      <c r="C142" t="s">
        <v>19</v>
      </c>
      <c r="D142">
        <f>SUMIF(Data!$A:$A,B142,Data!$E:$E)</f>
        <v>5913.68</v>
      </c>
    </row>
    <row r="143" spans="2:4" ht="15" customHeight="1" x14ac:dyDescent="0.3">
      <c r="B143" t="s">
        <v>120</v>
      </c>
      <c r="C143" t="s">
        <v>72</v>
      </c>
      <c r="D143">
        <f>SUMIF(Data!$A:$A,B143,Data!$E:$E)</f>
        <v>7583.1299999999992</v>
      </c>
    </row>
    <row r="144" spans="2:4" ht="15" customHeight="1" x14ac:dyDescent="0.3">
      <c r="B144" t="s">
        <v>141</v>
      </c>
      <c r="C144" t="s">
        <v>62</v>
      </c>
      <c r="D144">
        <f>SUMIF(Data!$A:$A,B144,Data!$E:$E)</f>
        <v>4951.8899999999994</v>
      </c>
    </row>
    <row r="145" spans="1:4" ht="15" customHeight="1" x14ac:dyDescent="0.3">
      <c r="B145" t="s">
        <v>25</v>
      </c>
      <c r="C145" t="s">
        <v>53</v>
      </c>
      <c r="D145">
        <f>SUMIF(Data!$A:$A,B145,Data!$E:$E)</f>
        <v>7928.71</v>
      </c>
    </row>
    <row r="146" spans="1:4" ht="15" customHeight="1" x14ac:dyDescent="0.3">
      <c r="B146" t="s">
        <v>81</v>
      </c>
      <c r="C146" t="s">
        <v>57</v>
      </c>
      <c r="D146">
        <f>SUMIF(Data!$A:$A,B146,Data!$E:$E)</f>
        <v>11611.060000000001</v>
      </c>
    </row>
    <row r="147" spans="1:4" ht="15" customHeight="1" x14ac:dyDescent="0.3">
      <c r="B147" t="s">
        <v>120</v>
      </c>
      <c r="C147" t="s">
        <v>34</v>
      </c>
      <c r="D147">
        <f>SUMIF(Data!$A:$A,B147,Data!$E:$E)</f>
        <v>7583.1299999999992</v>
      </c>
    </row>
    <row r="148" spans="1:4" ht="15" customHeight="1" x14ac:dyDescent="0.3">
      <c r="B148" t="s">
        <v>126</v>
      </c>
      <c r="C148" t="s">
        <v>10</v>
      </c>
      <c r="D148">
        <f>SUMIF(Data!$A:$A,B148,Data!$E:$E)</f>
        <v>7813.59</v>
      </c>
    </row>
    <row r="149" spans="1:4" ht="15" customHeight="1" x14ac:dyDescent="0.3">
      <c r="B149" t="s">
        <v>14</v>
      </c>
      <c r="C149" t="s">
        <v>57</v>
      </c>
      <c r="D149">
        <f>SUMIF(Data!$A:$A,B149,Data!$E:$E)</f>
        <v>8339</v>
      </c>
    </row>
    <row r="150" spans="1:4" ht="15" customHeight="1" x14ac:dyDescent="0.3">
      <c r="A150" s="3"/>
      <c r="B150" t="s">
        <v>35</v>
      </c>
      <c r="C150" t="s">
        <v>75</v>
      </c>
      <c r="D150">
        <f>SUMIF(Data!$A:$A,B150,Data!$E:$E)</f>
        <v>9371.81</v>
      </c>
    </row>
    <row r="151" spans="1:4" ht="15" customHeight="1" x14ac:dyDescent="0.3">
      <c r="B151" t="s">
        <v>38</v>
      </c>
      <c r="C151" t="s">
        <v>36</v>
      </c>
      <c r="D151">
        <f>SUMIF(Data!$A:$A,B151,Data!$E:$E)</f>
        <v>6505.2</v>
      </c>
    </row>
    <row r="152" spans="1:4" ht="15" customHeight="1" x14ac:dyDescent="0.3">
      <c r="B152" t="s">
        <v>106</v>
      </c>
      <c r="C152" t="s">
        <v>53</v>
      </c>
      <c r="D152">
        <f>SUMIF(Data!$A:$A,B152,Data!$E:$E)</f>
        <v>8490.18</v>
      </c>
    </row>
    <row r="153" spans="1:4" ht="15" customHeight="1" x14ac:dyDescent="0.3">
      <c r="B153" t="s">
        <v>100</v>
      </c>
      <c r="C153" t="s">
        <v>59</v>
      </c>
      <c r="D153">
        <f>SUMIF(Data!$A:$A,B153,Data!$E:$E)</f>
        <v>6481.43</v>
      </c>
    </row>
    <row r="154" spans="1:4" ht="15" customHeight="1" x14ac:dyDescent="0.3">
      <c r="B154" t="s">
        <v>137</v>
      </c>
      <c r="C154" t="s">
        <v>72</v>
      </c>
      <c r="D154">
        <f>SUMIF(Data!$A:$A,B154,Data!$E:$E)</f>
        <v>4162.4400000000005</v>
      </c>
    </row>
    <row r="155" spans="1:4" ht="15" customHeight="1" x14ac:dyDescent="0.3">
      <c r="B155" t="s">
        <v>141</v>
      </c>
      <c r="C155" t="s">
        <v>36</v>
      </c>
      <c r="D155">
        <f>SUMIF(Data!$A:$A,B155,Data!$E:$E)</f>
        <v>4951.8899999999994</v>
      </c>
    </row>
    <row r="156" spans="1:4" ht="15" customHeight="1" x14ac:dyDescent="0.3">
      <c r="B156" t="s">
        <v>18</v>
      </c>
      <c r="C156" t="s">
        <v>36</v>
      </c>
      <c r="D156">
        <f>SUMIF(Data!$A:$A,B156,Data!$E:$E)</f>
        <v>3419.2</v>
      </c>
    </row>
    <row r="157" spans="1:4" ht="15" customHeight="1" x14ac:dyDescent="0.3">
      <c r="B157" t="s">
        <v>126</v>
      </c>
      <c r="C157" t="s">
        <v>34</v>
      </c>
      <c r="D157">
        <f>SUMIF(Data!$A:$A,B157,Data!$E:$E)</f>
        <v>7813.59</v>
      </c>
    </row>
    <row r="158" spans="1:4" ht="15" customHeight="1" x14ac:dyDescent="0.3">
      <c r="B158" t="s">
        <v>71</v>
      </c>
      <c r="C158" t="s">
        <v>98</v>
      </c>
      <c r="D158">
        <f>SUMIF(Data!$A:$A,B158,Data!$E:$E)</f>
        <v>10293.870000000001</v>
      </c>
    </row>
    <row r="159" spans="1:4" ht="15" customHeight="1" x14ac:dyDescent="0.3">
      <c r="B159" t="s">
        <v>71</v>
      </c>
      <c r="C159" t="s">
        <v>83</v>
      </c>
      <c r="D159">
        <f>SUMIF(Data!$A:$A,B159,Data!$E:$E)</f>
        <v>10293.870000000001</v>
      </c>
    </row>
    <row r="160" spans="1:4" ht="15" customHeight="1" x14ac:dyDescent="0.3">
      <c r="B160" t="s">
        <v>50</v>
      </c>
      <c r="C160" t="s">
        <v>75</v>
      </c>
      <c r="D160">
        <f>SUMIF(Data!$A:$A,B160,Data!$E:$E)</f>
        <v>5779.05</v>
      </c>
    </row>
    <row r="161" spans="2:4" ht="15" customHeight="1" x14ac:dyDescent="0.3">
      <c r="B161" t="s">
        <v>79</v>
      </c>
      <c r="C161" t="s">
        <v>75</v>
      </c>
      <c r="D161">
        <f>SUMIF(Data!$A:$A,B161,Data!$E:$E)</f>
        <v>8740.18</v>
      </c>
    </row>
    <row r="162" spans="2:4" ht="15" customHeight="1" x14ac:dyDescent="0.3">
      <c r="B162" t="s">
        <v>38</v>
      </c>
      <c r="C162" t="s">
        <v>72</v>
      </c>
      <c r="D162">
        <f>SUMIF(Data!$A:$A,B162,Data!$E:$E)</f>
        <v>6505.2</v>
      </c>
    </row>
    <row r="163" spans="2:4" ht="15" customHeight="1" x14ac:dyDescent="0.3">
      <c r="B163" t="s">
        <v>49</v>
      </c>
      <c r="C163" t="s">
        <v>83</v>
      </c>
      <c r="D163">
        <f>SUMIF(Data!$A:$A,B163,Data!$E:$E)</f>
        <v>5913.68</v>
      </c>
    </row>
    <row r="164" spans="2:4" ht="15" customHeight="1" x14ac:dyDescent="0.3">
      <c r="B164" t="s">
        <v>50</v>
      </c>
      <c r="C164" t="s">
        <v>30</v>
      </c>
      <c r="D164">
        <f>SUMIF(Data!$A:$A,B164,Data!$E:$E)</f>
        <v>5779.05</v>
      </c>
    </row>
    <row r="165" spans="2:4" ht="15" customHeight="1" x14ac:dyDescent="0.3">
      <c r="B165" t="s">
        <v>38</v>
      </c>
      <c r="C165" t="s">
        <v>30</v>
      </c>
      <c r="D165">
        <f>SUMIF(Data!$A:$A,B165,Data!$E:$E)</f>
        <v>6505.2</v>
      </c>
    </row>
    <row r="166" spans="2:4" ht="15" customHeight="1" x14ac:dyDescent="0.3">
      <c r="B166" t="s">
        <v>29</v>
      </c>
      <c r="C166" t="s">
        <v>10</v>
      </c>
      <c r="D166">
        <f>SUMIF(Data!$A:$A,B166,Data!$E:$E)</f>
        <v>9941.8799999999992</v>
      </c>
    </row>
    <row r="167" spans="2:4" ht="15" customHeight="1" x14ac:dyDescent="0.3">
      <c r="B167" t="s">
        <v>25</v>
      </c>
      <c r="C167" t="s">
        <v>72</v>
      </c>
      <c r="D167">
        <f>SUMIF(Data!$A:$A,B167,Data!$E:$E)</f>
        <v>7928.71</v>
      </c>
    </row>
    <row r="168" spans="2:4" ht="15" customHeight="1" x14ac:dyDescent="0.3">
      <c r="B168" t="s">
        <v>141</v>
      </c>
      <c r="C168" t="s">
        <v>122</v>
      </c>
      <c r="D168">
        <f>SUMIF(Data!$A:$A,B168,Data!$E:$E)</f>
        <v>4951.8899999999994</v>
      </c>
    </row>
    <row r="169" spans="2:4" ht="15" customHeight="1" x14ac:dyDescent="0.3">
      <c r="B169" t="s">
        <v>55</v>
      </c>
      <c r="C169" t="s">
        <v>85</v>
      </c>
      <c r="D169">
        <f>SUMIF(Data!$A:$A,B169,Data!$E:$E)</f>
        <v>9760.7999999999993</v>
      </c>
    </row>
    <row r="170" spans="2:4" ht="15" customHeight="1" x14ac:dyDescent="0.3">
      <c r="B170" t="s">
        <v>43</v>
      </c>
      <c r="C170" t="s">
        <v>53</v>
      </c>
      <c r="D170">
        <f>SUMIF(Data!$A:$A,B170,Data!$E:$E)</f>
        <v>6729.8899999999994</v>
      </c>
    </row>
    <row r="171" spans="2:4" ht="15" customHeight="1" x14ac:dyDescent="0.3">
      <c r="B171" t="s">
        <v>120</v>
      </c>
      <c r="C171" t="s">
        <v>42</v>
      </c>
      <c r="D171">
        <f>SUMIF(Data!$A:$A,B171,Data!$E:$E)</f>
        <v>7583.1299999999992</v>
      </c>
    </row>
    <row r="172" spans="2:4" ht="15" customHeight="1" x14ac:dyDescent="0.3">
      <c r="B172" t="s">
        <v>71</v>
      </c>
      <c r="C172" t="s">
        <v>15</v>
      </c>
      <c r="D172">
        <f>SUMIF(Data!$A:$A,B172,Data!$E:$E)</f>
        <v>10293.870000000001</v>
      </c>
    </row>
    <row r="173" spans="2:4" ht="15" customHeight="1" x14ac:dyDescent="0.3">
      <c r="B173" t="s">
        <v>81</v>
      </c>
      <c r="C173" t="s">
        <v>53</v>
      </c>
      <c r="D173">
        <f>SUMIF(Data!$A:$A,B173,Data!$E:$E)</f>
        <v>11611.060000000001</v>
      </c>
    </row>
    <row r="174" spans="2:4" ht="15" customHeight="1" x14ac:dyDescent="0.3">
      <c r="B174" t="s">
        <v>84</v>
      </c>
      <c r="C174" t="s">
        <v>42</v>
      </c>
      <c r="D174">
        <f>SUMIF(Data!$A:$A,B174,Data!$E:$E)</f>
        <v>3369.17</v>
      </c>
    </row>
  </sheetData>
  <mergeCells count="1">
    <mergeCell ref="A1:D1"/>
  </mergeCells>
  <conditionalFormatting sqref="D4:D174">
    <cfRule type="top10" dxfId="0" priority="1" rank="10"/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E17"/>
  <sheetViews>
    <sheetView zoomScaleNormal="100" workbookViewId="0">
      <selection activeCell="F6" sqref="F6"/>
    </sheetView>
  </sheetViews>
  <sheetFormatPr defaultColWidth="8.6640625" defaultRowHeight="14.4" x14ac:dyDescent="0.3"/>
  <cols>
    <col min="1" max="1" width="18.6640625" customWidth="1"/>
    <col min="2" max="2" width="15.44140625" customWidth="1"/>
    <col min="3" max="3" width="15.77734375" customWidth="1"/>
    <col min="4" max="4" width="14.33203125" customWidth="1"/>
    <col min="5" max="5" width="16" customWidth="1"/>
  </cols>
  <sheetData>
    <row r="1" spans="1:5" ht="17.25" customHeight="1" x14ac:dyDescent="0.3">
      <c r="A1" s="17" t="s">
        <v>228</v>
      </c>
      <c r="B1" s="17"/>
      <c r="C1" s="17"/>
      <c r="D1" s="17"/>
      <c r="E1" s="17"/>
    </row>
    <row r="3" spans="1:5" ht="15" customHeight="1" x14ac:dyDescent="0.3">
      <c r="A3" s="12" t="s">
        <v>229</v>
      </c>
    </row>
    <row r="4" spans="1:5" ht="15" customHeight="1" x14ac:dyDescent="0.3">
      <c r="A4" s="13" t="s">
        <v>230</v>
      </c>
      <c r="B4" s="13">
        <f>SUM(Data!E:E)</f>
        <v>195217.75999999992</v>
      </c>
    </row>
    <row r="5" spans="1:5" ht="15" customHeight="1" x14ac:dyDescent="0.3">
      <c r="A5" s="14" t="s">
        <v>231</v>
      </c>
      <c r="B5" s="14">
        <f>SUM(Data!I:I)</f>
        <v>68287.010000000009</v>
      </c>
    </row>
    <row r="6" spans="1:5" ht="15" customHeight="1" x14ac:dyDescent="0.3">
      <c r="A6" s="14" t="s">
        <v>232</v>
      </c>
      <c r="B6" s="14">
        <f>AVERAGE(Data!G:G)</f>
        <v>9.7250000000000003E-2</v>
      </c>
    </row>
    <row r="8" spans="1:5" ht="15" customHeight="1" x14ac:dyDescent="0.3">
      <c r="A8" t="s">
        <v>233</v>
      </c>
    </row>
    <row r="9" spans="1:5" ht="15" customHeight="1" x14ac:dyDescent="0.3">
      <c r="A9" s="2" t="s">
        <v>234</v>
      </c>
      <c r="B9" s="2" t="s">
        <v>235</v>
      </c>
      <c r="C9" s="2" t="s">
        <v>236</v>
      </c>
      <c r="D9" s="2" t="s">
        <v>237</v>
      </c>
      <c r="E9" s="2" t="s">
        <v>238</v>
      </c>
    </row>
    <row r="10" spans="1:5" ht="15" customHeight="1" x14ac:dyDescent="0.3">
      <c r="A10" s="15">
        <v>0</v>
      </c>
      <c r="B10" s="15">
        <f>SUM(Data!E:E)*(1-A10)</f>
        <v>195217.75999999992</v>
      </c>
      <c r="C10" s="15">
        <f>SUM(Data!I:I)*(1-A10/$B$6)</f>
        <v>68287.010000000009</v>
      </c>
      <c r="D10" s="15">
        <f t="shared" ref="D10:D15" si="0">C10-$B$5</f>
        <v>0</v>
      </c>
      <c r="E10" s="16">
        <f t="shared" ref="E10:E15" si="1">D10/$B$5</f>
        <v>0</v>
      </c>
    </row>
    <row r="11" spans="1:5" ht="15" customHeight="1" x14ac:dyDescent="0.3">
      <c r="A11" s="15">
        <v>0.05</v>
      </c>
      <c r="B11" s="15">
        <f>SUM(Data!E:E)*(1-A11)</f>
        <v>185456.87199999992</v>
      </c>
      <c r="C11" s="15">
        <f>SUM(Data!I:I)*(1-A11/$B$6)</f>
        <v>33178.007429305922</v>
      </c>
      <c r="D11" s="15">
        <f t="shared" si="0"/>
        <v>-35109.002570694087</v>
      </c>
      <c r="E11" s="16">
        <f t="shared" si="1"/>
        <v>-0.51413881748071977</v>
      </c>
    </row>
    <row r="12" spans="1:5" ht="15" customHeight="1" x14ac:dyDescent="0.3">
      <c r="A12" s="15">
        <v>0.1</v>
      </c>
      <c r="B12" s="15">
        <f>SUM(Data!E:E)*(1-A12)</f>
        <v>175695.98399999994</v>
      </c>
      <c r="C12" s="15">
        <f>SUM(Data!I:I)*(1-A12/$B$6)</f>
        <v>-1930.9951413881713</v>
      </c>
      <c r="D12" s="15">
        <f t="shared" si="0"/>
        <v>-70218.005141388174</v>
      </c>
      <c r="E12" s="16">
        <f t="shared" si="1"/>
        <v>-1.0282776349614395</v>
      </c>
    </row>
    <row r="13" spans="1:5" ht="15" customHeight="1" x14ac:dyDescent="0.3">
      <c r="A13" s="15">
        <v>0.15</v>
      </c>
      <c r="B13" s="15">
        <f>SUM(Data!E:E)*(1-A13)</f>
        <v>165935.09599999993</v>
      </c>
      <c r="C13" s="15">
        <f>SUM(Data!I:I)*(1-A13/$B$6)</f>
        <v>-37039.997712082259</v>
      </c>
      <c r="D13" s="15">
        <f t="shared" si="0"/>
        <v>-105327.00771208227</v>
      </c>
      <c r="E13" s="16">
        <f t="shared" si="1"/>
        <v>-1.5424164524421593</v>
      </c>
    </row>
    <row r="14" spans="1:5" ht="15" customHeight="1" x14ac:dyDescent="0.3">
      <c r="A14" s="15">
        <v>0.2</v>
      </c>
      <c r="B14" s="15">
        <f>SUM(Data!E:E)*(1-A14)</f>
        <v>156174.20799999996</v>
      </c>
      <c r="C14" s="15">
        <f>SUM(Data!I:I)*(1-A14/$B$6)</f>
        <v>-72149.000282776353</v>
      </c>
      <c r="D14" s="15">
        <f t="shared" si="0"/>
        <v>-140436.01028277638</v>
      </c>
      <c r="E14" s="16">
        <f t="shared" si="1"/>
        <v>-2.0565552699228795</v>
      </c>
    </row>
    <row r="15" spans="1:5" ht="15" customHeight="1" x14ac:dyDescent="0.3">
      <c r="A15" s="15">
        <v>0.25</v>
      </c>
      <c r="B15" s="15">
        <f>SUM(Data!E:E)*(1-A15)</f>
        <v>146413.31999999995</v>
      </c>
      <c r="C15" s="15">
        <f>SUM(Data!I:I)*(1-A15/$B$6)</f>
        <v>-107258.00285347046</v>
      </c>
      <c r="D15" s="15">
        <f t="shared" si="0"/>
        <v>-175545.01285347046</v>
      </c>
      <c r="E15" s="16">
        <f t="shared" si="1"/>
        <v>-2.5706940874035991</v>
      </c>
    </row>
    <row r="17" spans="1:1" ht="15" customHeight="1" x14ac:dyDescent="0.3">
      <c r="A17" s="5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D12"/>
  <sheetViews>
    <sheetView zoomScaleNormal="100" workbookViewId="0">
      <selection activeCell="C6" sqref="C6"/>
    </sheetView>
  </sheetViews>
  <sheetFormatPr defaultColWidth="8.6640625" defaultRowHeight="14.4" x14ac:dyDescent="0.3"/>
  <cols>
    <col min="2" max="2" width="16.21875" customWidth="1"/>
    <col min="4" max="4" width="13.77734375" customWidth="1"/>
  </cols>
  <sheetData>
    <row r="1" spans="1:4" ht="17.25" customHeight="1" x14ac:dyDescent="0.3">
      <c r="A1" s="17" t="s">
        <v>239</v>
      </c>
      <c r="B1" s="17"/>
      <c r="C1" s="17"/>
      <c r="D1" s="17"/>
    </row>
    <row r="3" spans="1:4" ht="15" customHeight="1" x14ac:dyDescent="0.3">
      <c r="A3" s="2" t="s">
        <v>240</v>
      </c>
      <c r="B3" s="2" t="s">
        <v>4</v>
      </c>
      <c r="C3" s="2" t="s">
        <v>5</v>
      </c>
      <c r="D3" s="2" t="s">
        <v>8</v>
      </c>
    </row>
    <row r="4" spans="1:4" ht="15" customHeight="1" x14ac:dyDescent="0.3">
      <c r="A4" t="s">
        <v>241</v>
      </c>
      <c r="B4" s="6">
        <f>AVERAGE(Data!E:E)</f>
        <v>976.08879999999965</v>
      </c>
      <c r="C4" s="6">
        <f>AVERAGE(Data!F:F)</f>
        <v>9.9949999999999992</v>
      </c>
      <c r="D4" s="6">
        <f>AVERAGE(Data!I:I)</f>
        <v>341.43505000000005</v>
      </c>
    </row>
    <row r="5" spans="1:4" ht="15" customHeight="1" x14ac:dyDescent="0.3">
      <c r="A5" t="s">
        <v>242</v>
      </c>
      <c r="B5" s="6">
        <f>MEDIAN(Data!E:E)</f>
        <v>976.72</v>
      </c>
      <c r="C5" s="6">
        <f>MEDIAN(Data!F:F)</f>
        <v>10</v>
      </c>
      <c r="D5" s="6">
        <f>MEDIAN(Data!I:I)</f>
        <v>332.255</v>
      </c>
    </row>
    <row r="6" spans="1:4" ht="15" customHeight="1" x14ac:dyDescent="0.3">
      <c r="A6" t="s">
        <v>243</v>
      </c>
      <c r="B6" s="6">
        <f>STDEV(Data!E:E)</f>
        <v>299.27375909856431</v>
      </c>
      <c r="C6" s="6">
        <f>STDEV(Data!F:F)</f>
        <v>5.6466270449645082</v>
      </c>
      <c r="D6" s="6">
        <f>STDEV(Data!I:I)</f>
        <v>135.7661940552168</v>
      </c>
    </row>
    <row r="7" spans="1:4" ht="15" customHeight="1" x14ac:dyDescent="0.3">
      <c r="A7" t="s">
        <v>244</v>
      </c>
      <c r="B7" s="6">
        <f>VAR(Data!E:E)</f>
        <v>89564.782884985514</v>
      </c>
      <c r="C7" s="6">
        <f>VAR(Data!F:F)</f>
        <v>31.884396984924617</v>
      </c>
      <c r="D7" s="6">
        <f>VAR(Data!I:I)</f>
        <v>18432.459448238787</v>
      </c>
    </row>
    <row r="8" spans="1:4" ht="15" customHeight="1" x14ac:dyDescent="0.3">
      <c r="A8" t="s">
        <v>245</v>
      </c>
      <c r="B8" s="6">
        <f>MIN(Data!E:E)</f>
        <v>258.51</v>
      </c>
      <c r="C8" s="6">
        <f>MIN(Data!F:F)</f>
        <v>1</v>
      </c>
      <c r="D8" s="6">
        <f>MIN(Data!I:I)</f>
        <v>64.63</v>
      </c>
    </row>
    <row r="9" spans="1:4" ht="15" customHeight="1" x14ac:dyDescent="0.3">
      <c r="A9" t="s">
        <v>245</v>
      </c>
      <c r="B9" s="6">
        <f>MIN(Data!E:E)</f>
        <v>258.51</v>
      </c>
      <c r="C9" s="6">
        <f>MIN(Data!F:F)</f>
        <v>1</v>
      </c>
      <c r="D9" s="6">
        <f>MIN(Data!I:I)</f>
        <v>64.63</v>
      </c>
    </row>
    <row r="10" spans="1:4" ht="15" customHeight="1" x14ac:dyDescent="0.3">
      <c r="A10" t="s">
        <v>246</v>
      </c>
      <c r="B10" s="6">
        <f>MAX(Data!E:E)</f>
        <v>1923.66</v>
      </c>
      <c r="C10" s="6">
        <f>MAX(Data!F:F)</f>
        <v>19</v>
      </c>
      <c r="D10" s="6">
        <f>MAX(Data!I:I)</f>
        <v>769.46</v>
      </c>
    </row>
    <row r="11" spans="1:4" ht="15" customHeight="1" x14ac:dyDescent="0.3">
      <c r="A11" t="s">
        <v>247</v>
      </c>
      <c r="B11" s="6">
        <f>MAX(Data!E:E)-MIN(Data!E:E)</f>
        <v>1665.15</v>
      </c>
      <c r="C11" s="6">
        <f>MAX(Data!F:F)-MIN(Data!F:F)</f>
        <v>18</v>
      </c>
      <c r="D11" s="6">
        <f>MAX(Data!I:I)-MIN(Data!I:I)</f>
        <v>704.83</v>
      </c>
    </row>
    <row r="12" spans="1:4" ht="15" customHeight="1" x14ac:dyDescent="0.3">
      <c r="A12" t="s">
        <v>248</v>
      </c>
      <c r="B12" s="6">
        <f>COUNTA(Data!E:E)</f>
        <v>201</v>
      </c>
      <c r="C12" s="6">
        <f>COUNTA(Data!F:F)</f>
        <v>201</v>
      </c>
      <c r="D12" s="6">
        <f>COUNTA(Data!I:I)</f>
        <v>201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E19"/>
  <sheetViews>
    <sheetView tabSelected="1" zoomScaleNormal="100" workbookViewId="0">
      <selection activeCell="E25" sqref="E25"/>
    </sheetView>
  </sheetViews>
  <sheetFormatPr defaultColWidth="8.6640625" defaultRowHeight="14.4" x14ac:dyDescent="0.3"/>
  <cols>
    <col min="1" max="1" width="16.6640625" customWidth="1"/>
    <col min="2" max="2" width="12.88671875" customWidth="1"/>
    <col min="3" max="3" width="10.44140625" customWidth="1"/>
    <col min="4" max="4" width="14.109375" customWidth="1"/>
    <col min="5" max="5" width="15.109375" customWidth="1"/>
  </cols>
  <sheetData>
    <row r="1" spans="1:5" ht="17.25" customHeight="1" x14ac:dyDescent="0.3">
      <c r="A1" s="17" t="s">
        <v>249</v>
      </c>
      <c r="B1" s="17"/>
      <c r="C1" s="17"/>
      <c r="D1" s="17"/>
      <c r="E1" s="17"/>
    </row>
    <row r="3" spans="1:5" ht="15" customHeight="1" x14ac:dyDescent="0.3">
      <c r="A3" s="2" t="s">
        <v>250</v>
      </c>
      <c r="B3" s="2" t="s">
        <v>251</v>
      </c>
      <c r="C3" s="2" t="s">
        <v>252</v>
      </c>
      <c r="D3" s="2" t="s">
        <v>253</v>
      </c>
      <c r="E3" s="7"/>
    </row>
    <row r="4" spans="1:5" ht="15" customHeight="1" x14ac:dyDescent="0.3">
      <c r="A4" t="str" cm="1">
        <f t="array" ref="A4:A16">_xlfn.UNIQUE(TEXT(Data!H2:H201,"mmm-yyyy"))</f>
        <v>Apr-2024</v>
      </c>
      <c r="B4">
        <f>SUMIF(A4:A16, A4, Data!E2:E201)</f>
        <v>1036.0899999999999</v>
      </c>
      <c r="C4" t="s">
        <v>254</v>
      </c>
      <c r="D4" t="s">
        <v>254</v>
      </c>
    </row>
    <row r="5" spans="1:5" ht="15" customHeight="1" x14ac:dyDescent="0.3">
      <c r="A5" t="str">
        <v>May-2024</v>
      </c>
      <c r="B5">
        <f>SUMIF(A5:A17, A5, Data!E3:E202)</f>
        <v>1101.28</v>
      </c>
      <c r="C5">
        <f t="shared" ref="C5:C16" si="0">B5-B4</f>
        <v>65.190000000000055</v>
      </c>
      <c r="D5" s="4">
        <f>IF(B4=0,0,B5/B4)</f>
        <v>1.0629192444671796</v>
      </c>
    </row>
    <row r="6" spans="1:5" ht="15" customHeight="1" x14ac:dyDescent="0.3">
      <c r="A6" t="str">
        <v>Jun-2024</v>
      </c>
      <c r="B6">
        <f>SUMIF(A6:A18, A6, Data!E4:E203)</f>
        <v>713.34</v>
      </c>
      <c r="C6">
        <f t="shared" si="0"/>
        <v>-387.93999999999994</v>
      </c>
      <c r="D6" s="4">
        <f t="shared" ref="D6:D16" si="1">IF(B5=0,0,C6/B5)</f>
        <v>-0.35226282144413767</v>
      </c>
    </row>
    <row r="7" spans="1:5" ht="15" customHeight="1" x14ac:dyDescent="0.3">
      <c r="A7" t="str">
        <v>Jul-2024</v>
      </c>
      <c r="B7">
        <f>SUMIF(A7:A19, A7, Data!E5:E204)</f>
        <v>760.93</v>
      </c>
      <c r="C7">
        <f t="shared" si="0"/>
        <v>47.589999999999918</v>
      </c>
      <c r="D7" s="4">
        <f t="shared" si="1"/>
        <v>6.6714329772618833E-2</v>
      </c>
    </row>
    <row r="8" spans="1:5" ht="15" customHeight="1" x14ac:dyDescent="0.3">
      <c r="A8" t="str">
        <v>Aug-2024</v>
      </c>
      <c r="B8">
        <f>SUMIF(A8:A20, A8, Data!E6:E205)</f>
        <v>847</v>
      </c>
      <c r="C8">
        <f t="shared" si="0"/>
        <v>86.07000000000005</v>
      </c>
      <c r="D8" s="4">
        <f t="shared" si="1"/>
        <v>0.1131115871367932</v>
      </c>
    </row>
    <row r="9" spans="1:5" ht="15" customHeight="1" x14ac:dyDescent="0.3">
      <c r="A9" t="str">
        <v>Sep-2024</v>
      </c>
      <c r="B9">
        <f>SUMIF(A9:A21, A9, Data!E7:E206)</f>
        <v>965.64</v>
      </c>
      <c r="C9">
        <f t="shared" si="0"/>
        <v>118.63999999999999</v>
      </c>
      <c r="D9" s="4">
        <f t="shared" si="1"/>
        <v>0.14007083825265643</v>
      </c>
    </row>
    <row r="10" spans="1:5" ht="15" customHeight="1" x14ac:dyDescent="0.3">
      <c r="A10" t="str">
        <v>Oct-2024</v>
      </c>
      <c r="B10">
        <f>SUMIF(A10:A22, A10, Data!E8:E207)</f>
        <v>1317.53</v>
      </c>
      <c r="C10">
        <f t="shared" si="0"/>
        <v>351.89</v>
      </c>
      <c r="D10" s="4">
        <f t="shared" si="1"/>
        <v>0.36441116772296095</v>
      </c>
    </row>
    <row r="11" spans="1:5" ht="15" customHeight="1" x14ac:dyDescent="0.3">
      <c r="A11" t="str">
        <v>Nov-2024</v>
      </c>
      <c r="B11">
        <f>SUMIF(A11:A23, A11, Data!E9:E208)</f>
        <v>1074.47</v>
      </c>
      <c r="C11">
        <f t="shared" si="0"/>
        <v>-243.05999999999995</v>
      </c>
      <c r="D11" s="4">
        <f t="shared" si="1"/>
        <v>-0.18448156778213776</v>
      </c>
    </row>
    <row r="12" spans="1:5" ht="15" customHeight="1" x14ac:dyDescent="0.3">
      <c r="A12" t="str">
        <v>Dec-2024</v>
      </c>
      <c r="B12">
        <f>SUMIF(A12:A24, A12, Data!E10:E209)</f>
        <v>501.54</v>
      </c>
      <c r="C12">
        <f t="shared" si="0"/>
        <v>-572.93000000000006</v>
      </c>
      <c r="D12" s="4">
        <f t="shared" si="1"/>
        <v>-0.53322102990311504</v>
      </c>
    </row>
    <row r="13" spans="1:5" ht="15" customHeight="1" x14ac:dyDescent="0.3">
      <c r="A13" t="str">
        <v>Jan-2025</v>
      </c>
      <c r="B13">
        <f>SUMIF(A13:A25, A13, Data!E11:E210)</f>
        <v>737.31</v>
      </c>
      <c r="C13">
        <f t="shared" si="0"/>
        <v>235.76999999999992</v>
      </c>
      <c r="D13" s="4">
        <f t="shared" si="1"/>
        <v>0.47009211628185171</v>
      </c>
    </row>
    <row r="14" spans="1:5" ht="15" customHeight="1" x14ac:dyDescent="0.3">
      <c r="A14" t="str">
        <v>Feb-2025</v>
      </c>
      <c r="B14">
        <f>SUMIF(A14:A26, A14, Data!E12:E211)</f>
        <v>1572.82</v>
      </c>
      <c r="C14">
        <f t="shared" si="0"/>
        <v>835.51</v>
      </c>
      <c r="D14" s="4">
        <f t="shared" si="1"/>
        <v>1.1331868549185553</v>
      </c>
    </row>
    <row r="15" spans="1:5" ht="15" customHeight="1" x14ac:dyDescent="0.3">
      <c r="A15" t="str">
        <v>Mar-2025</v>
      </c>
      <c r="B15">
        <f>SUMIF(A15:A27, A15, Data!E13:E212)</f>
        <v>1343.13</v>
      </c>
      <c r="C15">
        <f t="shared" si="0"/>
        <v>-229.68999999999983</v>
      </c>
      <c r="D15" s="4">
        <f t="shared" si="1"/>
        <v>-0.14603705446268475</v>
      </c>
    </row>
    <row r="16" spans="1:5" ht="15" customHeight="1" x14ac:dyDescent="0.3">
      <c r="A16" t="str">
        <v>Apr-2025</v>
      </c>
      <c r="B16">
        <f>SUMIF(A16:A28, A16, Data!E14:E213)</f>
        <v>1191.58</v>
      </c>
      <c r="C16">
        <f t="shared" si="0"/>
        <v>-151.55000000000018</v>
      </c>
      <c r="D16" s="4">
        <f t="shared" si="1"/>
        <v>-0.11283345618071235</v>
      </c>
    </row>
    <row r="19" spans="1:1" ht="15" customHeight="1" x14ac:dyDescent="0.3">
      <c r="A19" s="5"/>
    </row>
  </sheetData>
  <mergeCells count="1">
    <mergeCell ref="A1:E1"/>
  </mergeCells>
  <conditionalFormatting sqref="D4:D1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D15"/>
  <sheetViews>
    <sheetView zoomScaleNormal="100" workbookViewId="0">
      <selection activeCell="D10" sqref="D10"/>
    </sheetView>
  </sheetViews>
  <sheetFormatPr defaultColWidth="8.6640625" defaultRowHeight="14.4" x14ac:dyDescent="0.3"/>
  <cols>
    <col min="2" max="2" width="17.21875" customWidth="1"/>
    <col min="4" max="4" width="16.21875" style="9" customWidth="1"/>
  </cols>
  <sheetData>
    <row r="1" spans="1:4" ht="17.25" customHeight="1" x14ac:dyDescent="0.3">
      <c r="A1" s="17" t="s">
        <v>255</v>
      </c>
      <c r="B1" s="17"/>
      <c r="C1" s="17"/>
      <c r="D1" s="17"/>
    </row>
    <row r="3" spans="1:4" ht="15" customHeight="1" x14ac:dyDescent="0.3">
      <c r="A3" s="2" t="s">
        <v>225</v>
      </c>
      <c r="B3" s="2" t="s">
        <v>256</v>
      </c>
      <c r="C3" s="2" t="s">
        <v>4</v>
      </c>
      <c r="D3" s="8" t="s">
        <v>257</v>
      </c>
    </row>
    <row r="4" spans="1:4" ht="15" customHeight="1" x14ac:dyDescent="0.3">
      <c r="A4" t="str">
        <f>Data!A4</f>
        <v>CUST017</v>
      </c>
      <c r="B4" t="str">
        <f>Data!H4</f>
        <v>2024-04-14</v>
      </c>
      <c r="C4">
        <f>Data!E4</f>
        <v>713.34</v>
      </c>
      <c r="D4" s="9">
        <f t="shared" ref="D4:D13" ca="1" si="0">NOW()</f>
        <v>46122.773165856481</v>
      </c>
    </row>
    <row r="5" spans="1:4" ht="15" customHeight="1" x14ac:dyDescent="0.3">
      <c r="A5" t="str">
        <f>Data!A5</f>
        <v>CUST005</v>
      </c>
      <c r="B5" t="str">
        <f>Data!H5</f>
        <v>2024-04-14</v>
      </c>
      <c r="C5">
        <f>Data!E5</f>
        <v>760.93</v>
      </c>
      <c r="D5" s="9">
        <f t="shared" ca="1" si="0"/>
        <v>46122.773165856481</v>
      </c>
    </row>
    <row r="6" spans="1:4" ht="15" customHeight="1" x14ac:dyDescent="0.3">
      <c r="A6" t="str">
        <f>Data!A6</f>
        <v>CUST030</v>
      </c>
      <c r="B6" t="str">
        <f>Data!H6</f>
        <v>2024-04-15</v>
      </c>
      <c r="C6">
        <f>Data!E6</f>
        <v>847</v>
      </c>
      <c r="D6" s="9">
        <f t="shared" ca="1" si="0"/>
        <v>46122.773165856481</v>
      </c>
    </row>
    <row r="7" spans="1:4" ht="15" customHeight="1" x14ac:dyDescent="0.3">
      <c r="A7" t="str">
        <f>Data!A7</f>
        <v>CUST007</v>
      </c>
      <c r="B7" t="str">
        <f>Data!H7</f>
        <v>2024-04-16</v>
      </c>
      <c r="C7">
        <f>Data!E7</f>
        <v>965.64</v>
      </c>
      <c r="D7" s="9">
        <f t="shared" ca="1" si="0"/>
        <v>46122.773165856481</v>
      </c>
    </row>
    <row r="8" spans="1:4" ht="15" customHeight="1" x14ac:dyDescent="0.3">
      <c r="A8" t="str">
        <f>Data!A8</f>
        <v>CUST001</v>
      </c>
      <c r="B8" t="str">
        <f>Data!H8</f>
        <v>2024-04-16</v>
      </c>
      <c r="C8">
        <f>Data!E8</f>
        <v>1317.53</v>
      </c>
      <c r="D8" s="9">
        <f t="shared" ca="1" si="0"/>
        <v>46122.773165856481</v>
      </c>
    </row>
    <row r="9" spans="1:4" ht="15" customHeight="1" x14ac:dyDescent="0.3">
      <c r="A9" t="str">
        <f>Data!A9</f>
        <v>CUST026</v>
      </c>
      <c r="B9" t="str">
        <f>Data!H9</f>
        <v>2024-04-19</v>
      </c>
      <c r="C9">
        <f>Data!E9</f>
        <v>1074.47</v>
      </c>
      <c r="D9" s="9">
        <f t="shared" ca="1" si="0"/>
        <v>46122.773165856481</v>
      </c>
    </row>
    <row r="10" spans="1:4" ht="15" customHeight="1" x14ac:dyDescent="0.3">
      <c r="A10" t="str">
        <f>Data!A10</f>
        <v>CUST009</v>
      </c>
      <c r="B10" t="str">
        <f>Data!H10</f>
        <v>2024-04-19</v>
      </c>
      <c r="C10">
        <f>Data!E10</f>
        <v>501.54</v>
      </c>
      <c r="D10" s="9">
        <f t="shared" ca="1" si="0"/>
        <v>46122.773165856481</v>
      </c>
    </row>
    <row r="11" spans="1:4" ht="15" customHeight="1" x14ac:dyDescent="0.3">
      <c r="A11" t="str">
        <f>Data!A11</f>
        <v>CUST010</v>
      </c>
      <c r="B11" t="str">
        <f>Data!H11</f>
        <v>2024-04-19</v>
      </c>
      <c r="C11">
        <f>Data!E11</f>
        <v>737.31</v>
      </c>
      <c r="D11" s="9">
        <f t="shared" ca="1" si="0"/>
        <v>46122.773165856481</v>
      </c>
    </row>
    <row r="12" spans="1:4" ht="15" customHeight="1" x14ac:dyDescent="0.3">
      <c r="A12" t="str">
        <f>Data!A12</f>
        <v>CUST014</v>
      </c>
      <c r="B12" t="str">
        <f>Data!H12</f>
        <v>2024-04-20</v>
      </c>
      <c r="C12">
        <f>Data!E12</f>
        <v>1572.82</v>
      </c>
      <c r="D12" s="9">
        <f t="shared" ca="1" si="0"/>
        <v>46122.773165856481</v>
      </c>
    </row>
    <row r="13" spans="1:4" ht="15" customHeight="1" x14ac:dyDescent="0.3">
      <c r="A13" t="str">
        <f>Data!A13</f>
        <v>CUST014</v>
      </c>
      <c r="B13" t="str">
        <f>Data!H13</f>
        <v>2024-04-22</v>
      </c>
      <c r="C13">
        <f>Data!E13</f>
        <v>1343.13</v>
      </c>
      <c r="D13" s="9">
        <f t="shared" ca="1" si="0"/>
        <v>46122.773165856481</v>
      </c>
    </row>
    <row r="15" spans="1:4" ht="15" customHeight="1" x14ac:dyDescent="0.3">
      <c r="A15" s="3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theme="8"/>
  </sheetPr>
  <dimension ref="A1:E181"/>
  <sheetViews>
    <sheetView topLeftCell="A45" zoomScaleNormal="100" workbookViewId="0">
      <selection activeCell="H19" sqref="H19"/>
    </sheetView>
  </sheetViews>
  <sheetFormatPr defaultColWidth="8.6640625" defaultRowHeight="14.4" x14ac:dyDescent="0.3"/>
  <cols>
    <col min="1" max="2" width="13.6640625" customWidth="1"/>
    <col min="3" max="3" width="13" customWidth="1"/>
    <col min="4" max="4" width="13.77734375" customWidth="1"/>
    <col min="5" max="5" width="22.5546875" customWidth="1"/>
  </cols>
  <sheetData>
    <row r="1" spans="1:5" ht="17.25" customHeight="1" x14ac:dyDescent="0.3">
      <c r="A1" s="17" t="s">
        <v>258</v>
      </c>
      <c r="B1" s="17"/>
      <c r="C1" s="17"/>
      <c r="D1" s="17"/>
      <c r="E1" s="17"/>
    </row>
    <row r="3" spans="1:5" ht="15" customHeight="1" x14ac:dyDescent="0.3">
      <c r="A3" s="2" t="s">
        <v>225</v>
      </c>
      <c r="B3" s="2" t="s">
        <v>226</v>
      </c>
      <c r="C3" s="2" t="s">
        <v>251</v>
      </c>
      <c r="D3" s="2" t="s">
        <v>259</v>
      </c>
      <c r="E3" s="2" t="s">
        <v>260</v>
      </c>
    </row>
    <row r="4" spans="1:5" ht="15" customHeight="1" x14ac:dyDescent="0.3">
      <c r="A4" t="s">
        <v>9</v>
      </c>
      <c r="B4" t="s">
        <v>10</v>
      </c>
      <c r="C4">
        <f>SUMIF(Data!$A:$A,A4,Data!$E:$E)</f>
        <v>4640.1099999999997</v>
      </c>
      <c r="D4">
        <f>SUMIF(Data!$A:$A,A4,Data!$I:$I)</f>
        <v>1721.12</v>
      </c>
      <c r="E4" t="str">
        <f t="shared" ref="E4:E35" si="0">IF(C4&gt;AVERAGE($C$4:$C$174),"High","Normal")</f>
        <v>Normal</v>
      </c>
    </row>
    <row r="5" spans="1:5" ht="15" customHeight="1" x14ac:dyDescent="0.3">
      <c r="A5" t="s">
        <v>14</v>
      </c>
      <c r="B5" t="s">
        <v>15</v>
      </c>
      <c r="C5">
        <f>SUMIF(Data!$A:$A,A5,Data!$E:$E)</f>
        <v>8339</v>
      </c>
      <c r="D5">
        <f>SUMIF(Data!$A:$A,A5,Data!$I:$I)</f>
        <v>2988.7100000000005</v>
      </c>
      <c r="E5" t="str">
        <f t="shared" si="0"/>
        <v>High</v>
      </c>
    </row>
    <row r="6" spans="1:5" ht="15" hidden="1" customHeight="1" x14ac:dyDescent="0.3">
      <c r="A6" t="s">
        <v>18</v>
      </c>
      <c r="B6" t="s">
        <v>19</v>
      </c>
      <c r="C6">
        <f>SUMIF(Data!$A:$A,A6,Data!$E:$E)</f>
        <v>3419.2</v>
      </c>
      <c r="D6">
        <f>SUMIF(Data!$A:$A,A6,Data!$I:$I)</f>
        <v>1257.21</v>
      </c>
      <c r="E6" t="str">
        <f t="shared" si="0"/>
        <v>Normal</v>
      </c>
    </row>
    <row r="7" spans="1:5" ht="15" hidden="1" customHeight="1" x14ac:dyDescent="0.3">
      <c r="A7" t="s">
        <v>22</v>
      </c>
      <c r="B7" t="s">
        <v>15</v>
      </c>
      <c r="C7">
        <f>SUMIF(Data!$A:$A,A7,Data!$E:$E)</f>
        <v>6666.130000000001</v>
      </c>
      <c r="D7">
        <f>SUMIF(Data!$A:$A,A7,Data!$I:$I)</f>
        <v>1982.3899999999999</v>
      </c>
      <c r="E7" t="str">
        <f t="shared" si="0"/>
        <v>Normal</v>
      </c>
    </row>
    <row r="8" spans="1:5" ht="15" customHeight="1" x14ac:dyDescent="0.3">
      <c r="A8" t="s">
        <v>25</v>
      </c>
      <c r="B8" t="s">
        <v>26</v>
      </c>
      <c r="C8">
        <f>SUMIF(Data!$A:$A,A8,Data!$E:$E)</f>
        <v>7928.71</v>
      </c>
      <c r="D8">
        <f>SUMIF(Data!$A:$A,A8,Data!$I:$I)</f>
        <v>2965.4799999999996</v>
      </c>
      <c r="E8" t="str">
        <f t="shared" si="0"/>
        <v>High</v>
      </c>
    </row>
    <row r="9" spans="1:5" ht="15" customHeight="1" x14ac:dyDescent="0.3">
      <c r="A9" t="s">
        <v>29</v>
      </c>
      <c r="B9" t="s">
        <v>30</v>
      </c>
      <c r="C9">
        <f>SUMIF(Data!$A:$A,A9,Data!$E:$E)</f>
        <v>9941.8799999999992</v>
      </c>
      <c r="D9">
        <f>SUMIF(Data!$A:$A,A9,Data!$I:$I)</f>
        <v>3936.2599999999998</v>
      </c>
      <c r="E9" t="str">
        <f t="shared" si="0"/>
        <v>High</v>
      </c>
    </row>
    <row r="10" spans="1:5" ht="15" hidden="1" customHeight="1" x14ac:dyDescent="0.3">
      <c r="A10" t="s">
        <v>33</v>
      </c>
      <c r="B10" t="s">
        <v>34</v>
      </c>
      <c r="C10">
        <f>SUMIF(Data!$A:$A,A10,Data!$E:$E)</f>
        <v>6549.55</v>
      </c>
      <c r="D10">
        <f>SUMIF(Data!$A:$A,A10,Data!$I:$I)</f>
        <v>1868.7700000000004</v>
      </c>
      <c r="E10" t="str">
        <f t="shared" si="0"/>
        <v>Normal</v>
      </c>
    </row>
    <row r="11" spans="1:5" ht="15" customHeight="1" x14ac:dyDescent="0.3">
      <c r="A11" t="s">
        <v>35</v>
      </c>
      <c r="B11" t="s">
        <v>36</v>
      </c>
      <c r="C11">
        <f>SUMIF(Data!$A:$A,A11,Data!$E:$E)</f>
        <v>9371.81</v>
      </c>
      <c r="D11">
        <f>SUMIF(Data!$A:$A,A11,Data!$I:$I)</f>
        <v>2922.0199999999995</v>
      </c>
      <c r="E11" t="str">
        <f t="shared" si="0"/>
        <v>High</v>
      </c>
    </row>
    <row r="12" spans="1:5" ht="15" hidden="1" customHeight="1" x14ac:dyDescent="0.3">
      <c r="A12" t="s">
        <v>38</v>
      </c>
      <c r="B12" t="s">
        <v>39</v>
      </c>
      <c r="C12">
        <f>SUMIF(Data!$A:$A,A12,Data!$E:$E)</f>
        <v>6505.2</v>
      </c>
      <c r="D12">
        <f>SUMIF(Data!$A:$A,A12,Data!$I:$I)</f>
        <v>2052.54</v>
      </c>
      <c r="E12" t="str">
        <f t="shared" si="0"/>
        <v>Normal</v>
      </c>
    </row>
    <row r="13" spans="1:5" ht="15" hidden="1" customHeight="1" x14ac:dyDescent="0.3">
      <c r="A13" t="s">
        <v>41</v>
      </c>
      <c r="B13" t="s">
        <v>42</v>
      </c>
      <c r="C13">
        <f>SUMIF(Data!$A:$A,A13,Data!$E:$E)</f>
        <v>4259.22</v>
      </c>
      <c r="D13">
        <f>SUMIF(Data!$A:$A,A13,Data!$I:$I)</f>
        <v>1529.32</v>
      </c>
      <c r="E13" t="str">
        <f t="shared" si="0"/>
        <v>Normal</v>
      </c>
    </row>
    <row r="14" spans="1:5" ht="15" hidden="1" customHeight="1" x14ac:dyDescent="0.3">
      <c r="A14" t="s">
        <v>43</v>
      </c>
      <c r="B14" t="s">
        <v>44</v>
      </c>
      <c r="C14">
        <f>SUMIF(Data!$A:$A,A14,Data!$E:$E)</f>
        <v>6729.8899999999994</v>
      </c>
      <c r="D14">
        <f>SUMIF(Data!$A:$A,A14,Data!$I:$I)</f>
        <v>2507.1799999999998</v>
      </c>
      <c r="E14" t="str">
        <f t="shared" si="0"/>
        <v>Normal</v>
      </c>
    </row>
    <row r="15" spans="1:5" ht="15" hidden="1" customHeight="1" x14ac:dyDescent="0.3">
      <c r="A15" t="s">
        <v>43</v>
      </c>
      <c r="B15" t="s">
        <v>42</v>
      </c>
      <c r="C15">
        <f>SUMIF(Data!$A:$A,A15,Data!$E:$E)</f>
        <v>6729.8899999999994</v>
      </c>
      <c r="D15">
        <f>SUMIF(Data!$A:$A,A15,Data!$I:$I)</f>
        <v>2507.1799999999998</v>
      </c>
      <c r="E15" t="str">
        <f t="shared" si="0"/>
        <v>Normal</v>
      </c>
    </row>
    <row r="16" spans="1:5" ht="15" hidden="1" customHeight="1" x14ac:dyDescent="0.3">
      <c r="A16" t="s">
        <v>49</v>
      </c>
      <c r="B16" t="s">
        <v>15</v>
      </c>
      <c r="C16">
        <f>SUMIF(Data!$A:$A,A16,Data!$E:$E)</f>
        <v>5913.68</v>
      </c>
      <c r="D16">
        <f>SUMIF(Data!$A:$A,A16,Data!$I:$I)</f>
        <v>2198.62</v>
      </c>
      <c r="E16" t="str">
        <f t="shared" si="0"/>
        <v>Normal</v>
      </c>
    </row>
    <row r="17" spans="1:5" ht="15" hidden="1" customHeight="1" x14ac:dyDescent="0.3">
      <c r="A17" t="s">
        <v>50</v>
      </c>
      <c r="B17" t="s">
        <v>51</v>
      </c>
      <c r="C17">
        <f>SUMIF(Data!$A:$A,A17,Data!$E:$E)</f>
        <v>5779.05</v>
      </c>
      <c r="D17">
        <f>SUMIF(Data!$A:$A,A17,Data!$I:$I)</f>
        <v>1611.6599999999999</v>
      </c>
      <c r="E17" t="str">
        <f t="shared" si="0"/>
        <v>Normal</v>
      </c>
    </row>
    <row r="18" spans="1:5" ht="15" hidden="1" customHeight="1" x14ac:dyDescent="0.3">
      <c r="A18" t="s">
        <v>22</v>
      </c>
      <c r="B18" t="s">
        <v>53</v>
      </c>
      <c r="C18">
        <f>SUMIF(Data!$A:$A,A18,Data!$E:$E)</f>
        <v>6666.130000000001</v>
      </c>
      <c r="D18">
        <f>SUMIF(Data!$A:$A,A18,Data!$I:$I)</f>
        <v>1982.3899999999999</v>
      </c>
      <c r="E18" t="str">
        <f t="shared" si="0"/>
        <v>Normal</v>
      </c>
    </row>
    <row r="19" spans="1:5" ht="15" customHeight="1" x14ac:dyDescent="0.3">
      <c r="A19" t="s">
        <v>55</v>
      </c>
      <c r="B19" t="s">
        <v>15</v>
      </c>
      <c r="C19">
        <f>SUMIF(Data!$A:$A,A19,Data!$E:$E)</f>
        <v>9760.7999999999993</v>
      </c>
      <c r="D19">
        <f>SUMIF(Data!$A:$A,A19,Data!$I:$I)</f>
        <v>3442.48</v>
      </c>
      <c r="E19" t="str">
        <f t="shared" si="0"/>
        <v>High</v>
      </c>
    </row>
    <row r="20" spans="1:5" ht="15" hidden="1" customHeight="1" x14ac:dyDescent="0.3">
      <c r="A20" t="s">
        <v>33</v>
      </c>
      <c r="B20" t="s">
        <v>57</v>
      </c>
      <c r="C20">
        <f>SUMIF(Data!$A:$A,A20,Data!$E:$E)</f>
        <v>6549.55</v>
      </c>
      <c r="D20">
        <f>SUMIF(Data!$A:$A,A20,Data!$I:$I)</f>
        <v>1868.7700000000004</v>
      </c>
      <c r="E20" t="str">
        <f t="shared" si="0"/>
        <v>Normal</v>
      </c>
    </row>
    <row r="21" spans="1:5" ht="15" hidden="1" customHeight="1" x14ac:dyDescent="0.3">
      <c r="A21" t="s">
        <v>58</v>
      </c>
      <c r="B21" t="s">
        <v>59</v>
      </c>
      <c r="C21">
        <f>SUMIF(Data!$A:$A,A21,Data!$E:$E)</f>
        <v>2699.75</v>
      </c>
      <c r="D21">
        <f>SUMIF(Data!$A:$A,A21,Data!$I:$I)</f>
        <v>837.06</v>
      </c>
      <c r="E21" t="str">
        <f t="shared" si="0"/>
        <v>Normal</v>
      </c>
    </row>
    <row r="22" spans="1:5" ht="15" customHeight="1" x14ac:dyDescent="0.3">
      <c r="A22" t="s">
        <v>29</v>
      </c>
      <c r="B22" t="s">
        <v>62</v>
      </c>
      <c r="C22">
        <f>SUMIF(Data!$A:$A,A22,Data!$E:$E)</f>
        <v>9941.8799999999992</v>
      </c>
      <c r="D22">
        <f>SUMIF(Data!$A:$A,A22,Data!$I:$I)</f>
        <v>3936.2599999999998</v>
      </c>
      <c r="E22" t="str">
        <f t="shared" si="0"/>
        <v>High</v>
      </c>
    </row>
    <row r="23" spans="1:5" ht="15" hidden="1" customHeight="1" x14ac:dyDescent="0.3">
      <c r="A23" t="s">
        <v>64</v>
      </c>
      <c r="B23" t="s">
        <v>15</v>
      </c>
      <c r="C23">
        <f>SUMIF(Data!$A:$A,A23,Data!$E:$E)</f>
        <v>4418.2800000000007</v>
      </c>
      <c r="D23">
        <f>SUMIF(Data!$A:$A,A23,Data!$I:$I)</f>
        <v>1605.23</v>
      </c>
      <c r="E23" t="str">
        <f t="shared" si="0"/>
        <v>Normal</v>
      </c>
    </row>
    <row r="24" spans="1:5" ht="15" hidden="1" customHeight="1" x14ac:dyDescent="0.3">
      <c r="A24" t="s">
        <v>9</v>
      </c>
      <c r="B24" t="s">
        <v>36</v>
      </c>
      <c r="C24">
        <f>SUMIF(Data!$A:$A,A24,Data!$E:$E)</f>
        <v>4640.1099999999997</v>
      </c>
      <c r="D24">
        <f>SUMIF(Data!$A:$A,A24,Data!$I:$I)</f>
        <v>1721.12</v>
      </c>
      <c r="E24" t="str">
        <f t="shared" si="0"/>
        <v>Normal</v>
      </c>
    </row>
    <row r="25" spans="1:5" ht="15" hidden="1" customHeight="1" x14ac:dyDescent="0.3">
      <c r="A25" t="s">
        <v>49</v>
      </c>
      <c r="B25" t="s">
        <v>36</v>
      </c>
      <c r="C25">
        <f>SUMIF(Data!$A:$A,A25,Data!$E:$E)</f>
        <v>5913.68</v>
      </c>
      <c r="D25">
        <f>SUMIF(Data!$A:$A,A25,Data!$I:$I)</f>
        <v>2198.62</v>
      </c>
      <c r="E25" t="str">
        <f t="shared" si="0"/>
        <v>Normal</v>
      </c>
    </row>
    <row r="26" spans="1:5" ht="15" customHeight="1" x14ac:dyDescent="0.3">
      <c r="A26" t="s">
        <v>14</v>
      </c>
      <c r="B26" t="s">
        <v>36</v>
      </c>
      <c r="C26">
        <f>SUMIF(Data!$A:$A,A26,Data!$E:$E)</f>
        <v>8339</v>
      </c>
      <c r="D26">
        <f>SUMIF(Data!$A:$A,A26,Data!$I:$I)</f>
        <v>2988.7100000000005</v>
      </c>
      <c r="E26" t="str">
        <f t="shared" si="0"/>
        <v>High</v>
      </c>
    </row>
    <row r="27" spans="1:5" ht="15" hidden="1" customHeight="1" x14ac:dyDescent="0.3">
      <c r="A27" t="s">
        <v>41</v>
      </c>
      <c r="B27" t="s">
        <v>67</v>
      </c>
      <c r="C27">
        <f>SUMIF(Data!$A:$A,A27,Data!$E:$E)</f>
        <v>4259.22</v>
      </c>
      <c r="D27">
        <f>SUMIF(Data!$A:$A,A27,Data!$I:$I)</f>
        <v>1529.32</v>
      </c>
      <c r="E27" t="str">
        <f t="shared" si="0"/>
        <v>Normal</v>
      </c>
    </row>
    <row r="28" spans="1:5" ht="15" customHeight="1" x14ac:dyDescent="0.3">
      <c r="A28" t="s">
        <v>25</v>
      </c>
      <c r="B28" t="s">
        <v>68</v>
      </c>
      <c r="C28">
        <f>SUMIF(Data!$A:$A,A28,Data!$E:$E)</f>
        <v>7928.71</v>
      </c>
      <c r="D28">
        <f>SUMIF(Data!$A:$A,A28,Data!$I:$I)</f>
        <v>2965.4799999999996</v>
      </c>
      <c r="E28" t="str">
        <f t="shared" si="0"/>
        <v>High</v>
      </c>
    </row>
    <row r="29" spans="1:5" ht="15" customHeight="1" x14ac:dyDescent="0.3">
      <c r="A29" t="s">
        <v>29</v>
      </c>
      <c r="B29" t="s">
        <v>15</v>
      </c>
      <c r="C29">
        <f>SUMIF(Data!$A:$A,A29,Data!$E:$E)</f>
        <v>9941.8799999999992</v>
      </c>
      <c r="D29">
        <f>SUMIF(Data!$A:$A,A29,Data!$I:$I)</f>
        <v>3936.2599999999998</v>
      </c>
      <c r="E29" t="str">
        <f t="shared" si="0"/>
        <v>High</v>
      </c>
    </row>
    <row r="30" spans="1:5" ht="15" customHeight="1" x14ac:dyDescent="0.3">
      <c r="A30" t="s">
        <v>71</v>
      </c>
      <c r="B30" t="s">
        <v>72</v>
      </c>
      <c r="C30">
        <f>SUMIF(Data!$A:$A,A30,Data!$E:$E)</f>
        <v>10293.870000000001</v>
      </c>
      <c r="D30">
        <f>SUMIF(Data!$A:$A,A30,Data!$I:$I)</f>
        <v>3541.02</v>
      </c>
      <c r="E30" t="str">
        <f t="shared" si="0"/>
        <v>High</v>
      </c>
    </row>
    <row r="31" spans="1:5" ht="15" customHeight="1" x14ac:dyDescent="0.3">
      <c r="A31" t="s">
        <v>71</v>
      </c>
      <c r="B31" t="s">
        <v>26</v>
      </c>
      <c r="C31">
        <f>SUMIF(Data!$A:$A,A31,Data!$E:$E)</f>
        <v>10293.870000000001</v>
      </c>
      <c r="D31">
        <f>SUMIF(Data!$A:$A,A31,Data!$I:$I)</f>
        <v>3541.02</v>
      </c>
      <c r="E31" t="str">
        <f t="shared" si="0"/>
        <v>High</v>
      </c>
    </row>
    <row r="32" spans="1:5" ht="15" hidden="1" customHeight="1" x14ac:dyDescent="0.3">
      <c r="A32" t="s">
        <v>74</v>
      </c>
      <c r="B32" t="s">
        <v>75</v>
      </c>
      <c r="C32">
        <f>SUMIF(Data!$A:$A,A32,Data!$E:$E)</f>
        <v>6716.52</v>
      </c>
      <c r="D32">
        <f>SUMIF(Data!$A:$A,A32,Data!$I:$I)</f>
        <v>2327.84</v>
      </c>
      <c r="E32" t="str">
        <f t="shared" si="0"/>
        <v>Normal</v>
      </c>
    </row>
    <row r="33" spans="1:5" ht="15" hidden="1" customHeight="1" x14ac:dyDescent="0.3">
      <c r="A33" t="s">
        <v>64</v>
      </c>
      <c r="B33" t="s">
        <v>77</v>
      </c>
      <c r="C33">
        <f>SUMIF(Data!$A:$A,A33,Data!$E:$E)</f>
        <v>4418.2800000000007</v>
      </c>
      <c r="D33">
        <f>SUMIF(Data!$A:$A,A33,Data!$I:$I)</f>
        <v>1605.23</v>
      </c>
      <c r="E33" t="str">
        <f t="shared" si="0"/>
        <v>Normal</v>
      </c>
    </row>
    <row r="34" spans="1:5" ht="15" hidden="1" customHeight="1" x14ac:dyDescent="0.3">
      <c r="A34" t="s">
        <v>33</v>
      </c>
      <c r="B34" t="s">
        <v>59</v>
      </c>
      <c r="C34">
        <f>SUMIF(Data!$A:$A,A34,Data!$E:$E)</f>
        <v>6549.55</v>
      </c>
      <c r="D34">
        <f>SUMIF(Data!$A:$A,A34,Data!$I:$I)</f>
        <v>1868.7700000000004</v>
      </c>
      <c r="E34" t="str">
        <f t="shared" si="0"/>
        <v>Normal</v>
      </c>
    </row>
    <row r="35" spans="1:5" ht="15" customHeight="1" x14ac:dyDescent="0.3">
      <c r="A35" t="s">
        <v>79</v>
      </c>
      <c r="B35" t="s">
        <v>53</v>
      </c>
      <c r="C35">
        <f>SUMIF(Data!$A:$A,A35,Data!$E:$E)</f>
        <v>8740.18</v>
      </c>
      <c r="D35">
        <f>SUMIF(Data!$A:$A,A35,Data!$I:$I)</f>
        <v>2848.62</v>
      </c>
      <c r="E35" t="str">
        <f t="shared" si="0"/>
        <v>High</v>
      </c>
    </row>
    <row r="36" spans="1:5" ht="15" customHeight="1" x14ac:dyDescent="0.3">
      <c r="A36" t="s">
        <v>81</v>
      </c>
      <c r="B36" t="s">
        <v>72</v>
      </c>
      <c r="C36">
        <f>SUMIF(Data!$A:$A,A36,Data!$E:$E)</f>
        <v>11611.060000000001</v>
      </c>
      <c r="D36">
        <f>SUMIF(Data!$A:$A,A36,Data!$I:$I)</f>
        <v>4201.59</v>
      </c>
      <c r="E36" t="str">
        <f t="shared" ref="E36:E67" si="1">IF(C36&gt;AVERAGE($C$4:$C$174),"High","Normal")</f>
        <v>High</v>
      </c>
    </row>
    <row r="37" spans="1:5" ht="15" customHeight="1" x14ac:dyDescent="0.3">
      <c r="A37" t="s">
        <v>14</v>
      </c>
      <c r="B37" t="s">
        <v>30</v>
      </c>
      <c r="C37">
        <f>SUMIF(Data!$A:$A,A37,Data!$E:$E)</f>
        <v>8339</v>
      </c>
      <c r="D37">
        <f>SUMIF(Data!$A:$A,A37,Data!$I:$I)</f>
        <v>2988.7100000000005</v>
      </c>
      <c r="E37" t="str">
        <f t="shared" si="1"/>
        <v>High</v>
      </c>
    </row>
    <row r="38" spans="1:5" ht="15" hidden="1" customHeight="1" x14ac:dyDescent="0.3">
      <c r="A38" t="s">
        <v>9</v>
      </c>
      <c r="B38" t="s">
        <v>75</v>
      </c>
      <c r="C38">
        <f>SUMIF(Data!$A:$A,A38,Data!$E:$E)</f>
        <v>4640.1099999999997</v>
      </c>
      <c r="D38">
        <f>SUMIF(Data!$A:$A,A38,Data!$I:$I)</f>
        <v>1721.12</v>
      </c>
      <c r="E38" t="str">
        <f t="shared" si="1"/>
        <v>Normal</v>
      </c>
    </row>
    <row r="39" spans="1:5" ht="15" customHeight="1" x14ac:dyDescent="0.3">
      <c r="A39" t="s">
        <v>71</v>
      </c>
      <c r="B39" t="s">
        <v>62</v>
      </c>
      <c r="C39">
        <f>SUMIF(Data!$A:$A,A39,Data!$E:$E)</f>
        <v>10293.870000000001</v>
      </c>
      <c r="D39">
        <f>SUMIF(Data!$A:$A,A39,Data!$I:$I)</f>
        <v>3541.02</v>
      </c>
      <c r="E39" t="str">
        <f t="shared" si="1"/>
        <v>High</v>
      </c>
    </row>
    <row r="40" spans="1:5" ht="15" customHeight="1" x14ac:dyDescent="0.3">
      <c r="A40" t="s">
        <v>55</v>
      </c>
      <c r="B40" t="s">
        <v>83</v>
      </c>
      <c r="C40">
        <f>SUMIF(Data!$A:$A,A40,Data!$E:$E)</f>
        <v>9760.7999999999993</v>
      </c>
      <c r="D40">
        <f>SUMIF(Data!$A:$A,A40,Data!$I:$I)</f>
        <v>3442.48</v>
      </c>
      <c r="E40" t="str">
        <f t="shared" si="1"/>
        <v>High</v>
      </c>
    </row>
    <row r="41" spans="1:5" ht="15" hidden="1" customHeight="1" x14ac:dyDescent="0.3">
      <c r="A41" t="s">
        <v>84</v>
      </c>
      <c r="B41" t="s">
        <v>85</v>
      </c>
      <c r="C41">
        <f>SUMIF(Data!$A:$A,A41,Data!$E:$E)</f>
        <v>3369.17</v>
      </c>
      <c r="D41">
        <f>SUMIF(Data!$A:$A,A41,Data!$I:$I)</f>
        <v>1497.25</v>
      </c>
      <c r="E41" t="str">
        <f t="shared" si="1"/>
        <v>Normal</v>
      </c>
    </row>
    <row r="42" spans="1:5" ht="15" hidden="1" customHeight="1" x14ac:dyDescent="0.3">
      <c r="A42" t="s">
        <v>22</v>
      </c>
      <c r="B42" t="s">
        <v>51</v>
      </c>
      <c r="C42">
        <f>SUMIF(Data!$A:$A,A42,Data!$E:$E)</f>
        <v>6666.130000000001</v>
      </c>
      <c r="D42">
        <f>SUMIF(Data!$A:$A,A42,Data!$I:$I)</f>
        <v>1982.3899999999999</v>
      </c>
      <c r="E42" t="str">
        <f t="shared" si="1"/>
        <v>Normal</v>
      </c>
    </row>
    <row r="43" spans="1:5" ht="15" hidden="1" customHeight="1" x14ac:dyDescent="0.3">
      <c r="A43" t="s">
        <v>49</v>
      </c>
      <c r="B43" t="s">
        <v>77</v>
      </c>
      <c r="C43">
        <f>SUMIF(Data!$A:$A,A43,Data!$E:$E)</f>
        <v>5913.68</v>
      </c>
      <c r="D43">
        <f>SUMIF(Data!$A:$A,A43,Data!$I:$I)</f>
        <v>2198.62</v>
      </c>
      <c r="E43" t="str">
        <f t="shared" si="1"/>
        <v>Normal</v>
      </c>
    </row>
    <row r="44" spans="1:5" ht="15" customHeight="1" x14ac:dyDescent="0.3">
      <c r="A44" t="s">
        <v>79</v>
      </c>
      <c r="B44" t="s">
        <v>26</v>
      </c>
      <c r="C44">
        <f>SUMIF(Data!$A:$A,A44,Data!$E:$E)</f>
        <v>8740.18</v>
      </c>
      <c r="D44">
        <f>SUMIF(Data!$A:$A,A44,Data!$I:$I)</f>
        <v>2848.62</v>
      </c>
      <c r="E44" t="str">
        <f t="shared" si="1"/>
        <v>High</v>
      </c>
    </row>
    <row r="45" spans="1:5" ht="15" customHeight="1" x14ac:dyDescent="0.3">
      <c r="A45" t="s">
        <v>35</v>
      </c>
      <c r="B45" t="s">
        <v>85</v>
      </c>
      <c r="C45">
        <f>SUMIF(Data!$A:$A,A45,Data!$E:$E)</f>
        <v>9371.81</v>
      </c>
      <c r="D45">
        <f>SUMIF(Data!$A:$A,A45,Data!$I:$I)</f>
        <v>2922.0199999999995</v>
      </c>
      <c r="E45" t="str">
        <f t="shared" si="1"/>
        <v>High</v>
      </c>
    </row>
    <row r="46" spans="1:5" ht="15" hidden="1" customHeight="1" x14ac:dyDescent="0.3">
      <c r="A46" t="s">
        <v>18</v>
      </c>
      <c r="B46" t="s">
        <v>90</v>
      </c>
      <c r="C46">
        <f>SUMIF(Data!$A:$A,A46,Data!$E:$E)</f>
        <v>3419.2</v>
      </c>
      <c r="D46">
        <f>SUMIF(Data!$A:$A,A46,Data!$I:$I)</f>
        <v>1257.21</v>
      </c>
      <c r="E46" t="str">
        <f t="shared" si="1"/>
        <v>Normal</v>
      </c>
    </row>
    <row r="47" spans="1:5" ht="15" hidden="1" customHeight="1" x14ac:dyDescent="0.3">
      <c r="A47" t="s">
        <v>74</v>
      </c>
      <c r="B47" t="s">
        <v>77</v>
      </c>
      <c r="C47">
        <f>SUMIF(Data!$A:$A,A47,Data!$E:$E)</f>
        <v>6716.52</v>
      </c>
      <c r="D47">
        <f>SUMIF(Data!$A:$A,A47,Data!$I:$I)</f>
        <v>2327.84</v>
      </c>
      <c r="E47" t="str">
        <f t="shared" si="1"/>
        <v>Normal</v>
      </c>
    </row>
    <row r="48" spans="1:5" ht="15" hidden="1" customHeight="1" x14ac:dyDescent="0.3">
      <c r="A48" t="s">
        <v>92</v>
      </c>
      <c r="B48" t="s">
        <v>36</v>
      </c>
      <c r="C48">
        <f>SUMIF(Data!$A:$A,A48,Data!$E:$E)</f>
        <v>3762.2900000000004</v>
      </c>
      <c r="D48">
        <f>SUMIF(Data!$A:$A,A48,Data!$I:$I)</f>
        <v>1545.04</v>
      </c>
      <c r="E48" t="str">
        <f t="shared" si="1"/>
        <v>Normal</v>
      </c>
    </row>
    <row r="49" spans="1:5" ht="15" customHeight="1" x14ac:dyDescent="0.3">
      <c r="A49" t="s">
        <v>79</v>
      </c>
      <c r="B49" t="s">
        <v>30</v>
      </c>
      <c r="C49">
        <f>SUMIF(Data!$A:$A,A49,Data!$E:$E)</f>
        <v>8740.18</v>
      </c>
      <c r="D49">
        <f>SUMIF(Data!$A:$A,A49,Data!$I:$I)</f>
        <v>2848.62</v>
      </c>
      <c r="E49" t="str">
        <f t="shared" si="1"/>
        <v>High</v>
      </c>
    </row>
    <row r="50" spans="1:5" ht="15" customHeight="1" x14ac:dyDescent="0.3">
      <c r="A50" t="s">
        <v>55</v>
      </c>
      <c r="B50" t="s">
        <v>68</v>
      </c>
      <c r="C50">
        <f>SUMIF(Data!$A:$A,A50,Data!$E:$E)</f>
        <v>9760.7999999999993</v>
      </c>
      <c r="D50">
        <f>SUMIF(Data!$A:$A,A50,Data!$I:$I)</f>
        <v>3442.48</v>
      </c>
      <c r="E50" t="str">
        <f t="shared" si="1"/>
        <v>High</v>
      </c>
    </row>
    <row r="51" spans="1:5" ht="15" customHeight="1" x14ac:dyDescent="0.3">
      <c r="A51" t="s">
        <v>29</v>
      </c>
      <c r="B51" t="s">
        <v>39</v>
      </c>
      <c r="C51">
        <f>SUMIF(Data!$A:$A,A51,Data!$E:$E)</f>
        <v>9941.8799999999992</v>
      </c>
      <c r="D51">
        <f>SUMIF(Data!$A:$A,A51,Data!$I:$I)</f>
        <v>3936.2599999999998</v>
      </c>
      <c r="E51" t="str">
        <f t="shared" si="1"/>
        <v>High</v>
      </c>
    </row>
    <row r="52" spans="1:5" ht="15" customHeight="1" x14ac:dyDescent="0.3">
      <c r="A52" t="s">
        <v>81</v>
      </c>
      <c r="B52" t="s">
        <v>26</v>
      </c>
      <c r="C52">
        <f>SUMIF(Data!$A:$A,A52,Data!$E:$E)</f>
        <v>11611.060000000001</v>
      </c>
      <c r="D52">
        <f>SUMIF(Data!$A:$A,A52,Data!$I:$I)</f>
        <v>4201.59</v>
      </c>
      <c r="E52" t="str">
        <f t="shared" si="1"/>
        <v>High</v>
      </c>
    </row>
    <row r="53" spans="1:5" ht="15" customHeight="1" x14ac:dyDescent="0.3">
      <c r="A53" t="s">
        <v>25</v>
      </c>
      <c r="B53" t="s">
        <v>98</v>
      </c>
      <c r="C53">
        <f>SUMIF(Data!$A:$A,A53,Data!$E:$E)</f>
        <v>7928.71</v>
      </c>
      <c r="D53">
        <f>SUMIF(Data!$A:$A,A53,Data!$I:$I)</f>
        <v>2965.4799999999996</v>
      </c>
      <c r="E53" t="str">
        <f t="shared" si="1"/>
        <v>High</v>
      </c>
    </row>
    <row r="54" spans="1:5" ht="15" hidden="1" customHeight="1" x14ac:dyDescent="0.3">
      <c r="A54" t="s">
        <v>100</v>
      </c>
      <c r="B54" t="s">
        <v>62</v>
      </c>
      <c r="C54">
        <f>SUMIF(Data!$A:$A,A54,Data!$E:$E)</f>
        <v>6481.43</v>
      </c>
      <c r="D54">
        <f>SUMIF(Data!$A:$A,A54,Data!$I:$I)</f>
        <v>2210.7399999999998</v>
      </c>
      <c r="E54" t="str">
        <f t="shared" si="1"/>
        <v>Normal</v>
      </c>
    </row>
    <row r="55" spans="1:5" ht="15" hidden="1" customHeight="1" x14ac:dyDescent="0.3">
      <c r="A55" t="s">
        <v>38</v>
      </c>
      <c r="B55" t="s">
        <v>44</v>
      </c>
      <c r="C55">
        <f>SUMIF(Data!$A:$A,A55,Data!$E:$E)</f>
        <v>6505.2</v>
      </c>
      <c r="D55">
        <f>SUMIF(Data!$A:$A,A55,Data!$I:$I)</f>
        <v>2052.54</v>
      </c>
      <c r="E55" t="str">
        <f t="shared" si="1"/>
        <v>Normal</v>
      </c>
    </row>
    <row r="56" spans="1:5" ht="15" customHeight="1" x14ac:dyDescent="0.3">
      <c r="A56" t="s">
        <v>25</v>
      </c>
      <c r="B56" t="s">
        <v>103</v>
      </c>
      <c r="C56">
        <f>SUMIF(Data!$A:$A,A56,Data!$E:$E)</f>
        <v>7928.71</v>
      </c>
      <c r="D56">
        <f>SUMIF(Data!$A:$A,A56,Data!$I:$I)</f>
        <v>2965.4799999999996</v>
      </c>
      <c r="E56" t="str">
        <f t="shared" si="1"/>
        <v>High</v>
      </c>
    </row>
    <row r="57" spans="1:5" ht="15" hidden="1" customHeight="1" x14ac:dyDescent="0.3">
      <c r="A57" t="s">
        <v>50</v>
      </c>
      <c r="B57" t="s">
        <v>98</v>
      </c>
      <c r="C57">
        <f>SUMIF(Data!$A:$A,A57,Data!$E:$E)</f>
        <v>5779.05</v>
      </c>
      <c r="D57">
        <f>SUMIF(Data!$A:$A,A57,Data!$I:$I)</f>
        <v>1611.6599999999999</v>
      </c>
      <c r="E57" t="str">
        <f t="shared" si="1"/>
        <v>Normal</v>
      </c>
    </row>
    <row r="58" spans="1:5" ht="15" customHeight="1" x14ac:dyDescent="0.3">
      <c r="A58" t="s">
        <v>106</v>
      </c>
      <c r="B58" t="s">
        <v>44</v>
      </c>
      <c r="C58">
        <f>SUMIF(Data!$A:$A,A58,Data!$E:$E)</f>
        <v>8490.18</v>
      </c>
      <c r="D58">
        <f>SUMIF(Data!$A:$A,A58,Data!$I:$I)</f>
        <v>2652.75</v>
      </c>
      <c r="E58" t="str">
        <f t="shared" si="1"/>
        <v>High</v>
      </c>
    </row>
    <row r="59" spans="1:5" ht="15" customHeight="1" x14ac:dyDescent="0.3">
      <c r="A59" t="s">
        <v>14</v>
      </c>
      <c r="B59" t="s">
        <v>83</v>
      </c>
      <c r="C59">
        <f>SUMIF(Data!$A:$A,A59,Data!$E:$E)</f>
        <v>8339</v>
      </c>
      <c r="D59">
        <f>SUMIF(Data!$A:$A,A59,Data!$I:$I)</f>
        <v>2988.7100000000005</v>
      </c>
      <c r="E59" t="str">
        <f t="shared" si="1"/>
        <v>High</v>
      </c>
    </row>
    <row r="60" spans="1:5" ht="15" customHeight="1" x14ac:dyDescent="0.3">
      <c r="A60" t="s">
        <v>79</v>
      </c>
      <c r="B60" t="s">
        <v>36</v>
      </c>
      <c r="C60">
        <f>SUMIF(Data!$A:$A,A60,Data!$E:$E)</f>
        <v>8740.18</v>
      </c>
      <c r="D60">
        <f>SUMIF(Data!$A:$A,A60,Data!$I:$I)</f>
        <v>2848.62</v>
      </c>
      <c r="E60" t="str">
        <f t="shared" si="1"/>
        <v>High</v>
      </c>
    </row>
    <row r="61" spans="1:5" ht="15" hidden="1" customHeight="1" x14ac:dyDescent="0.3">
      <c r="A61" t="s">
        <v>41</v>
      </c>
      <c r="B61" t="s">
        <v>75</v>
      </c>
      <c r="C61">
        <f>SUMIF(Data!$A:$A,A61,Data!$E:$E)</f>
        <v>4259.22</v>
      </c>
      <c r="D61">
        <f>SUMIF(Data!$A:$A,A61,Data!$I:$I)</f>
        <v>1529.32</v>
      </c>
      <c r="E61" t="str">
        <f t="shared" si="1"/>
        <v>Normal</v>
      </c>
    </row>
    <row r="62" spans="1:5" ht="15" customHeight="1" x14ac:dyDescent="0.3">
      <c r="A62" t="s">
        <v>106</v>
      </c>
      <c r="B62" t="s">
        <v>10</v>
      </c>
      <c r="C62">
        <f>SUMIF(Data!$A:$A,A62,Data!$E:$E)</f>
        <v>8490.18</v>
      </c>
      <c r="D62">
        <f>SUMIF(Data!$A:$A,A62,Data!$I:$I)</f>
        <v>2652.75</v>
      </c>
      <c r="E62" t="str">
        <f t="shared" si="1"/>
        <v>High</v>
      </c>
    </row>
    <row r="63" spans="1:5" ht="15" hidden="1" customHeight="1" x14ac:dyDescent="0.3">
      <c r="A63" t="s">
        <v>50</v>
      </c>
      <c r="B63" t="s">
        <v>85</v>
      </c>
      <c r="C63">
        <f>SUMIF(Data!$A:$A,A63,Data!$E:$E)</f>
        <v>5779.05</v>
      </c>
      <c r="D63">
        <f>SUMIF(Data!$A:$A,A63,Data!$I:$I)</f>
        <v>1611.6599999999999</v>
      </c>
      <c r="E63" t="str">
        <f t="shared" si="1"/>
        <v>Normal</v>
      </c>
    </row>
    <row r="64" spans="1:5" ht="15" customHeight="1" x14ac:dyDescent="0.3">
      <c r="A64" t="s">
        <v>106</v>
      </c>
      <c r="B64" t="s">
        <v>26</v>
      </c>
      <c r="C64">
        <f>SUMIF(Data!$A:$A,A64,Data!$E:$E)</f>
        <v>8490.18</v>
      </c>
      <c r="D64">
        <f>SUMIF(Data!$A:$A,A64,Data!$I:$I)</f>
        <v>2652.75</v>
      </c>
      <c r="E64" t="str">
        <f t="shared" si="1"/>
        <v>High</v>
      </c>
    </row>
    <row r="65" spans="1:5" ht="15" hidden="1" customHeight="1" x14ac:dyDescent="0.3">
      <c r="A65" t="s">
        <v>100</v>
      </c>
      <c r="B65" t="s">
        <v>36</v>
      </c>
      <c r="C65">
        <f>SUMIF(Data!$A:$A,A65,Data!$E:$E)</f>
        <v>6481.43</v>
      </c>
      <c r="D65">
        <f>SUMIF(Data!$A:$A,A65,Data!$I:$I)</f>
        <v>2210.7399999999998</v>
      </c>
      <c r="E65" t="str">
        <f t="shared" si="1"/>
        <v>Normal</v>
      </c>
    </row>
    <row r="66" spans="1:5" ht="15" hidden="1" customHeight="1" x14ac:dyDescent="0.3">
      <c r="A66" t="s">
        <v>114</v>
      </c>
      <c r="B66" t="s">
        <v>75</v>
      </c>
      <c r="C66">
        <f>SUMIF(Data!$A:$A,A66,Data!$E:$E)</f>
        <v>4413.71</v>
      </c>
      <c r="D66">
        <f>SUMIF(Data!$A:$A,A66,Data!$I:$I)</f>
        <v>1664.79</v>
      </c>
      <c r="E66" t="str">
        <f t="shared" si="1"/>
        <v>Normal</v>
      </c>
    </row>
    <row r="67" spans="1:5" ht="15" customHeight="1" x14ac:dyDescent="0.3">
      <c r="A67" t="s">
        <v>79</v>
      </c>
      <c r="B67" t="s">
        <v>59</v>
      </c>
      <c r="C67">
        <f>SUMIF(Data!$A:$A,A67,Data!$E:$E)</f>
        <v>8740.18</v>
      </c>
      <c r="D67">
        <f>SUMIF(Data!$A:$A,A67,Data!$I:$I)</f>
        <v>2848.62</v>
      </c>
      <c r="E67" t="str">
        <f t="shared" si="1"/>
        <v>High</v>
      </c>
    </row>
    <row r="68" spans="1:5" ht="15" customHeight="1" x14ac:dyDescent="0.3">
      <c r="A68" t="s">
        <v>55</v>
      </c>
      <c r="B68" t="s">
        <v>10</v>
      </c>
      <c r="C68">
        <f>SUMIF(Data!$A:$A,A68,Data!$E:$E)</f>
        <v>9760.7999999999993</v>
      </c>
      <c r="D68">
        <f>SUMIF(Data!$A:$A,A68,Data!$I:$I)</f>
        <v>3442.48</v>
      </c>
      <c r="E68" t="str">
        <f t="shared" ref="E68:E99" si="2">IF(C68&gt;AVERAGE($C$4:$C$174),"High","Normal")</f>
        <v>High</v>
      </c>
    </row>
    <row r="69" spans="1:5" ht="15" customHeight="1" x14ac:dyDescent="0.3">
      <c r="A69" t="s">
        <v>25</v>
      </c>
      <c r="B69" t="s">
        <v>75</v>
      </c>
      <c r="C69">
        <f>SUMIF(Data!$A:$A,A69,Data!$E:$E)</f>
        <v>7928.71</v>
      </c>
      <c r="D69">
        <f>SUMIF(Data!$A:$A,A69,Data!$I:$I)</f>
        <v>2965.4799999999996</v>
      </c>
      <c r="E69" t="str">
        <f t="shared" si="2"/>
        <v>High</v>
      </c>
    </row>
    <row r="70" spans="1:5" ht="15" hidden="1" customHeight="1" x14ac:dyDescent="0.3">
      <c r="A70" t="s">
        <v>114</v>
      </c>
      <c r="B70" t="s">
        <v>118</v>
      </c>
      <c r="C70">
        <f>SUMIF(Data!$A:$A,A70,Data!$E:$E)</f>
        <v>4413.71</v>
      </c>
      <c r="D70">
        <f>SUMIF(Data!$A:$A,A70,Data!$I:$I)</f>
        <v>1664.79</v>
      </c>
      <c r="E70" t="str">
        <f t="shared" si="2"/>
        <v>Normal</v>
      </c>
    </row>
    <row r="71" spans="1:5" ht="15" customHeight="1" x14ac:dyDescent="0.3">
      <c r="A71" t="s">
        <v>120</v>
      </c>
      <c r="B71" t="s">
        <v>75</v>
      </c>
      <c r="C71">
        <f>SUMIF(Data!$A:$A,A71,Data!$E:$E)</f>
        <v>7583.1299999999992</v>
      </c>
      <c r="D71">
        <f>SUMIF(Data!$A:$A,A71,Data!$I:$I)</f>
        <v>2492.1</v>
      </c>
      <c r="E71" t="str">
        <f t="shared" si="2"/>
        <v>High</v>
      </c>
    </row>
    <row r="72" spans="1:5" ht="15" customHeight="1" x14ac:dyDescent="0.3">
      <c r="A72" t="s">
        <v>14</v>
      </c>
      <c r="B72" t="s">
        <v>122</v>
      </c>
      <c r="C72">
        <f>SUMIF(Data!$A:$A,A72,Data!$E:$E)</f>
        <v>8339</v>
      </c>
      <c r="D72">
        <f>SUMIF(Data!$A:$A,A72,Data!$I:$I)</f>
        <v>2988.7100000000005</v>
      </c>
      <c r="E72" t="str">
        <f t="shared" si="2"/>
        <v>High</v>
      </c>
    </row>
    <row r="73" spans="1:5" ht="15" customHeight="1" x14ac:dyDescent="0.3">
      <c r="A73" t="s">
        <v>120</v>
      </c>
      <c r="B73" t="s">
        <v>44</v>
      </c>
      <c r="C73">
        <f>SUMIF(Data!$A:$A,A73,Data!$E:$E)</f>
        <v>7583.1299999999992</v>
      </c>
      <c r="D73">
        <f>SUMIF(Data!$A:$A,A73,Data!$I:$I)</f>
        <v>2492.1</v>
      </c>
      <c r="E73" t="str">
        <f t="shared" si="2"/>
        <v>High</v>
      </c>
    </row>
    <row r="74" spans="1:5" ht="15" customHeight="1" x14ac:dyDescent="0.3">
      <c r="A74" t="s">
        <v>14</v>
      </c>
      <c r="B74" t="s">
        <v>34</v>
      </c>
      <c r="C74">
        <f>SUMIF(Data!$A:$A,A74,Data!$E:$E)</f>
        <v>8339</v>
      </c>
      <c r="D74">
        <f>SUMIF(Data!$A:$A,A74,Data!$I:$I)</f>
        <v>2988.7100000000005</v>
      </c>
      <c r="E74" t="str">
        <f t="shared" si="2"/>
        <v>High</v>
      </c>
    </row>
    <row r="75" spans="1:5" ht="15" hidden="1" customHeight="1" x14ac:dyDescent="0.3">
      <c r="A75" t="s">
        <v>22</v>
      </c>
      <c r="B75" t="s">
        <v>72</v>
      </c>
      <c r="C75">
        <f>SUMIF(Data!$A:$A,A75,Data!$E:$E)</f>
        <v>6666.130000000001</v>
      </c>
      <c r="D75">
        <f>SUMIF(Data!$A:$A,A75,Data!$I:$I)</f>
        <v>1982.3899999999999</v>
      </c>
      <c r="E75" t="str">
        <f t="shared" si="2"/>
        <v>Normal</v>
      </c>
    </row>
    <row r="76" spans="1:5" ht="15" customHeight="1" x14ac:dyDescent="0.3">
      <c r="A76" t="s">
        <v>126</v>
      </c>
      <c r="B76" t="s">
        <v>57</v>
      </c>
      <c r="C76">
        <f>SUMIF(Data!$A:$A,A76,Data!$E:$E)</f>
        <v>7813.59</v>
      </c>
      <c r="D76">
        <f>SUMIF(Data!$A:$A,A76,Data!$I:$I)</f>
        <v>3211.82</v>
      </c>
      <c r="E76" t="str">
        <f t="shared" si="2"/>
        <v>High</v>
      </c>
    </row>
    <row r="77" spans="1:5" ht="15" customHeight="1" x14ac:dyDescent="0.3">
      <c r="A77" t="s">
        <v>35</v>
      </c>
      <c r="B77" t="s">
        <v>34</v>
      </c>
      <c r="C77">
        <f>SUMIF(Data!$A:$A,A77,Data!$E:$E)</f>
        <v>9371.81</v>
      </c>
      <c r="D77">
        <f>SUMIF(Data!$A:$A,A77,Data!$I:$I)</f>
        <v>2922.0199999999995</v>
      </c>
      <c r="E77" t="str">
        <f t="shared" si="2"/>
        <v>High</v>
      </c>
    </row>
    <row r="78" spans="1:5" ht="15" customHeight="1" x14ac:dyDescent="0.3">
      <c r="A78" t="s">
        <v>25</v>
      </c>
      <c r="B78" t="s">
        <v>36</v>
      </c>
      <c r="C78">
        <f>SUMIF(Data!$A:$A,A78,Data!$E:$E)</f>
        <v>7928.71</v>
      </c>
      <c r="D78">
        <f>SUMIF(Data!$A:$A,A78,Data!$I:$I)</f>
        <v>2965.4799999999996</v>
      </c>
      <c r="E78" t="str">
        <f t="shared" si="2"/>
        <v>High</v>
      </c>
    </row>
    <row r="79" spans="1:5" ht="15" customHeight="1" x14ac:dyDescent="0.3">
      <c r="A79" t="s">
        <v>29</v>
      </c>
      <c r="B79" t="s">
        <v>75</v>
      </c>
      <c r="C79">
        <f>SUMIF(Data!$A:$A,A79,Data!$E:$E)</f>
        <v>9941.8799999999992</v>
      </c>
      <c r="D79">
        <f>SUMIF(Data!$A:$A,A79,Data!$I:$I)</f>
        <v>3936.2599999999998</v>
      </c>
      <c r="E79" t="str">
        <f t="shared" si="2"/>
        <v>High</v>
      </c>
    </row>
    <row r="80" spans="1:5" ht="15" hidden="1" customHeight="1" x14ac:dyDescent="0.3">
      <c r="A80" t="s">
        <v>114</v>
      </c>
      <c r="B80" t="s">
        <v>39</v>
      </c>
      <c r="C80">
        <f>SUMIF(Data!$A:$A,A80,Data!$E:$E)</f>
        <v>4413.71</v>
      </c>
      <c r="D80">
        <f>SUMIF(Data!$A:$A,A80,Data!$I:$I)</f>
        <v>1664.79</v>
      </c>
      <c r="E80" t="str">
        <f t="shared" si="2"/>
        <v>Normal</v>
      </c>
    </row>
    <row r="81" spans="1:5" ht="15" customHeight="1" x14ac:dyDescent="0.3">
      <c r="A81" t="s">
        <v>71</v>
      </c>
      <c r="B81" t="s">
        <v>67</v>
      </c>
      <c r="C81">
        <f>SUMIF(Data!$A:$A,A81,Data!$E:$E)</f>
        <v>10293.870000000001</v>
      </c>
      <c r="D81">
        <f>SUMIF(Data!$A:$A,A81,Data!$I:$I)</f>
        <v>3541.02</v>
      </c>
      <c r="E81" t="str">
        <f t="shared" si="2"/>
        <v>High</v>
      </c>
    </row>
    <row r="82" spans="1:5" ht="15" hidden="1" customHeight="1" x14ac:dyDescent="0.3">
      <c r="A82" t="s">
        <v>22</v>
      </c>
      <c r="B82" t="s">
        <v>62</v>
      </c>
      <c r="C82">
        <f>SUMIF(Data!$A:$A,A82,Data!$E:$E)</f>
        <v>6666.130000000001</v>
      </c>
      <c r="D82">
        <f>SUMIF(Data!$A:$A,A82,Data!$I:$I)</f>
        <v>1982.3899999999999</v>
      </c>
      <c r="E82" t="str">
        <f t="shared" si="2"/>
        <v>Normal</v>
      </c>
    </row>
    <row r="83" spans="1:5" ht="15" customHeight="1" x14ac:dyDescent="0.3">
      <c r="A83" t="s">
        <v>81</v>
      </c>
      <c r="B83" t="s">
        <v>42</v>
      </c>
      <c r="C83">
        <f>SUMIF(Data!$A:$A,A83,Data!$E:$E)</f>
        <v>11611.060000000001</v>
      </c>
      <c r="D83">
        <f>SUMIF(Data!$A:$A,A83,Data!$I:$I)</f>
        <v>4201.59</v>
      </c>
      <c r="E83" t="str">
        <f t="shared" si="2"/>
        <v>High</v>
      </c>
    </row>
    <row r="84" spans="1:5" ht="15" hidden="1" customHeight="1" x14ac:dyDescent="0.3">
      <c r="A84" t="s">
        <v>49</v>
      </c>
      <c r="B84" t="s">
        <v>75</v>
      </c>
      <c r="C84">
        <f>SUMIF(Data!$A:$A,A84,Data!$E:$E)</f>
        <v>5913.68</v>
      </c>
      <c r="D84">
        <f>SUMIF(Data!$A:$A,A84,Data!$I:$I)</f>
        <v>2198.62</v>
      </c>
      <c r="E84" t="str">
        <f t="shared" si="2"/>
        <v>Normal</v>
      </c>
    </row>
    <row r="85" spans="1:5" ht="15" customHeight="1" x14ac:dyDescent="0.3">
      <c r="A85" t="s">
        <v>126</v>
      </c>
      <c r="B85" t="s">
        <v>98</v>
      </c>
      <c r="C85">
        <f>SUMIF(Data!$A:$A,A85,Data!$E:$E)</f>
        <v>7813.59</v>
      </c>
      <c r="D85">
        <f>SUMIF(Data!$A:$A,A85,Data!$I:$I)</f>
        <v>3211.82</v>
      </c>
      <c r="E85" t="str">
        <f t="shared" si="2"/>
        <v>High</v>
      </c>
    </row>
    <row r="86" spans="1:5" ht="15" hidden="1" customHeight="1" x14ac:dyDescent="0.3">
      <c r="A86" t="s">
        <v>49</v>
      </c>
      <c r="B86" t="s">
        <v>26</v>
      </c>
      <c r="C86">
        <f>SUMIF(Data!$A:$A,A86,Data!$E:$E)</f>
        <v>5913.68</v>
      </c>
      <c r="D86">
        <f>SUMIF(Data!$A:$A,A86,Data!$I:$I)</f>
        <v>2198.62</v>
      </c>
      <c r="E86" t="str">
        <f t="shared" si="2"/>
        <v>Normal</v>
      </c>
    </row>
    <row r="87" spans="1:5" ht="15" hidden="1" customHeight="1" x14ac:dyDescent="0.3">
      <c r="A87" t="s">
        <v>64</v>
      </c>
      <c r="B87" t="s">
        <v>67</v>
      </c>
      <c r="C87">
        <f>SUMIF(Data!$A:$A,A87,Data!$E:$E)</f>
        <v>4418.2800000000007</v>
      </c>
      <c r="D87">
        <f>SUMIF(Data!$A:$A,A87,Data!$I:$I)</f>
        <v>1605.23</v>
      </c>
      <c r="E87" t="str">
        <f t="shared" si="2"/>
        <v>Normal</v>
      </c>
    </row>
    <row r="88" spans="1:5" ht="15" customHeight="1" x14ac:dyDescent="0.3">
      <c r="A88" t="s">
        <v>29</v>
      </c>
      <c r="B88" t="s">
        <v>103</v>
      </c>
      <c r="C88">
        <f>SUMIF(Data!$A:$A,A88,Data!$E:$E)</f>
        <v>9941.8799999999992</v>
      </c>
      <c r="D88">
        <f>SUMIF(Data!$A:$A,A88,Data!$I:$I)</f>
        <v>3936.2599999999998</v>
      </c>
      <c r="E88" t="str">
        <f t="shared" si="2"/>
        <v>High</v>
      </c>
    </row>
    <row r="89" spans="1:5" ht="15" hidden="1" customHeight="1" x14ac:dyDescent="0.3">
      <c r="A89" t="s">
        <v>137</v>
      </c>
      <c r="B89" t="s">
        <v>15</v>
      </c>
      <c r="C89">
        <f>SUMIF(Data!$A:$A,A89,Data!$E:$E)</f>
        <v>4162.4400000000005</v>
      </c>
      <c r="D89">
        <f>SUMIF(Data!$A:$A,A89,Data!$I:$I)</f>
        <v>1605.11</v>
      </c>
      <c r="E89" t="str">
        <f t="shared" si="2"/>
        <v>Normal</v>
      </c>
    </row>
    <row r="90" spans="1:5" ht="15" hidden="1" customHeight="1" x14ac:dyDescent="0.3">
      <c r="A90" t="s">
        <v>139</v>
      </c>
      <c r="B90" t="s">
        <v>44</v>
      </c>
      <c r="C90">
        <f>SUMIF(Data!$A:$A,A90,Data!$E:$E)</f>
        <v>3906.04</v>
      </c>
      <c r="D90">
        <f>SUMIF(Data!$A:$A,A90,Data!$I:$I)</f>
        <v>1240.6500000000001</v>
      </c>
      <c r="E90" t="str">
        <f t="shared" si="2"/>
        <v>Normal</v>
      </c>
    </row>
    <row r="91" spans="1:5" ht="15" hidden="1" customHeight="1" x14ac:dyDescent="0.3">
      <c r="A91" t="s">
        <v>141</v>
      </c>
      <c r="B91" t="s">
        <v>59</v>
      </c>
      <c r="C91">
        <f>SUMIF(Data!$A:$A,A91,Data!$E:$E)</f>
        <v>4951.8899999999994</v>
      </c>
      <c r="D91">
        <f>SUMIF(Data!$A:$A,A91,Data!$I:$I)</f>
        <v>1821.6399999999999</v>
      </c>
      <c r="E91" t="str">
        <f t="shared" si="2"/>
        <v>Normal</v>
      </c>
    </row>
    <row r="92" spans="1:5" ht="15" hidden="1" customHeight="1" x14ac:dyDescent="0.3">
      <c r="A92" t="s">
        <v>114</v>
      </c>
      <c r="B92" t="s">
        <v>19</v>
      </c>
      <c r="C92">
        <f>SUMIF(Data!$A:$A,A92,Data!$E:$E)</f>
        <v>4413.71</v>
      </c>
      <c r="D92">
        <f>SUMIF(Data!$A:$A,A92,Data!$I:$I)</f>
        <v>1664.79</v>
      </c>
      <c r="E92" t="str">
        <f t="shared" si="2"/>
        <v>Normal</v>
      </c>
    </row>
    <row r="93" spans="1:5" ht="15" hidden="1" customHeight="1" x14ac:dyDescent="0.3">
      <c r="A93" t="s">
        <v>18</v>
      </c>
      <c r="B93" t="s">
        <v>98</v>
      </c>
      <c r="C93">
        <f>SUMIF(Data!$A:$A,A93,Data!$E:$E)</f>
        <v>3419.2</v>
      </c>
      <c r="D93">
        <f>SUMIF(Data!$A:$A,A93,Data!$I:$I)</f>
        <v>1257.21</v>
      </c>
      <c r="E93" t="str">
        <f t="shared" si="2"/>
        <v>Normal</v>
      </c>
    </row>
    <row r="94" spans="1:5" ht="15" hidden="1" customHeight="1" x14ac:dyDescent="0.3">
      <c r="A94" t="s">
        <v>84</v>
      </c>
      <c r="B94" t="s">
        <v>30</v>
      </c>
      <c r="C94">
        <f>SUMIF(Data!$A:$A,A94,Data!$E:$E)</f>
        <v>3369.17</v>
      </c>
      <c r="D94">
        <f>SUMIF(Data!$A:$A,A94,Data!$I:$I)</f>
        <v>1497.25</v>
      </c>
      <c r="E94" t="str">
        <f t="shared" si="2"/>
        <v>Normal</v>
      </c>
    </row>
    <row r="95" spans="1:5" ht="15" customHeight="1" x14ac:dyDescent="0.3">
      <c r="A95" t="s">
        <v>55</v>
      </c>
      <c r="B95" t="s">
        <v>77</v>
      </c>
      <c r="C95">
        <f>SUMIF(Data!$A:$A,A95,Data!$E:$E)</f>
        <v>9760.7999999999993</v>
      </c>
      <c r="D95">
        <f>SUMIF(Data!$A:$A,A95,Data!$I:$I)</f>
        <v>3442.48</v>
      </c>
      <c r="E95" t="str">
        <f t="shared" si="2"/>
        <v>High</v>
      </c>
    </row>
    <row r="96" spans="1:5" ht="15" customHeight="1" x14ac:dyDescent="0.3">
      <c r="A96" t="s">
        <v>14</v>
      </c>
      <c r="B96" t="s">
        <v>62</v>
      </c>
      <c r="C96">
        <f>SUMIF(Data!$A:$A,A96,Data!$E:$E)</f>
        <v>8339</v>
      </c>
      <c r="D96">
        <f>SUMIF(Data!$A:$A,A96,Data!$I:$I)</f>
        <v>2988.7100000000005</v>
      </c>
      <c r="E96" t="str">
        <f t="shared" si="2"/>
        <v>High</v>
      </c>
    </row>
    <row r="97" spans="1:5" ht="15" hidden="1" customHeight="1" x14ac:dyDescent="0.3">
      <c r="A97" t="s">
        <v>74</v>
      </c>
      <c r="B97" t="s">
        <v>59</v>
      </c>
      <c r="C97">
        <f>SUMIF(Data!$A:$A,A97,Data!$E:$E)</f>
        <v>6716.52</v>
      </c>
      <c r="D97">
        <f>SUMIF(Data!$A:$A,A97,Data!$I:$I)</f>
        <v>2327.84</v>
      </c>
      <c r="E97" t="str">
        <f t="shared" si="2"/>
        <v>Normal</v>
      </c>
    </row>
    <row r="98" spans="1:5" ht="15" hidden="1" customHeight="1" x14ac:dyDescent="0.3">
      <c r="A98" t="s">
        <v>43</v>
      </c>
      <c r="B98" t="s">
        <v>98</v>
      </c>
      <c r="C98">
        <f>SUMIF(Data!$A:$A,A98,Data!$E:$E)</f>
        <v>6729.8899999999994</v>
      </c>
      <c r="D98">
        <f>SUMIF(Data!$A:$A,A98,Data!$I:$I)</f>
        <v>2507.1799999999998</v>
      </c>
      <c r="E98" t="str">
        <f t="shared" si="2"/>
        <v>Normal</v>
      </c>
    </row>
    <row r="99" spans="1:5" ht="15" customHeight="1" x14ac:dyDescent="0.3">
      <c r="A99" t="s">
        <v>55</v>
      </c>
      <c r="B99" t="s">
        <v>26</v>
      </c>
      <c r="C99">
        <f>SUMIF(Data!$A:$A,A99,Data!$E:$E)</f>
        <v>9760.7999999999993</v>
      </c>
      <c r="D99">
        <f>SUMIF(Data!$A:$A,A99,Data!$I:$I)</f>
        <v>3442.48</v>
      </c>
      <c r="E99" t="str">
        <f t="shared" si="2"/>
        <v>High</v>
      </c>
    </row>
    <row r="100" spans="1:5" ht="15" hidden="1" customHeight="1" x14ac:dyDescent="0.3">
      <c r="A100" t="s">
        <v>74</v>
      </c>
      <c r="B100" t="s">
        <v>103</v>
      </c>
      <c r="C100">
        <f>SUMIF(Data!$A:$A,A100,Data!$E:$E)</f>
        <v>6716.52</v>
      </c>
      <c r="D100">
        <f>SUMIF(Data!$A:$A,A100,Data!$I:$I)</f>
        <v>2327.84</v>
      </c>
      <c r="E100" t="str">
        <f t="shared" ref="E100:E131" si="3">IF(C100&gt;AVERAGE($C$4:$C$174),"High","Normal")</f>
        <v>Normal</v>
      </c>
    </row>
    <row r="101" spans="1:5" ht="15" hidden="1" customHeight="1" x14ac:dyDescent="0.3">
      <c r="A101" t="s">
        <v>9</v>
      </c>
      <c r="B101" t="s">
        <v>39</v>
      </c>
      <c r="C101">
        <f>SUMIF(Data!$A:$A,A101,Data!$E:$E)</f>
        <v>4640.1099999999997</v>
      </c>
      <c r="D101">
        <f>SUMIF(Data!$A:$A,A101,Data!$I:$I)</f>
        <v>1721.12</v>
      </c>
      <c r="E101" t="str">
        <f t="shared" si="3"/>
        <v>Normal</v>
      </c>
    </row>
    <row r="102" spans="1:5" ht="15" customHeight="1" x14ac:dyDescent="0.3">
      <c r="A102" t="s">
        <v>120</v>
      </c>
      <c r="B102" t="s">
        <v>103</v>
      </c>
      <c r="C102">
        <f>SUMIF(Data!$A:$A,A102,Data!$E:$E)</f>
        <v>7583.1299999999992</v>
      </c>
      <c r="D102">
        <f>SUMIF(Data!$A:$A,A102,Data!$I:$I)</f>
        <v>2492.1</v>
      </c>
      <c r="E102" t="str">
        <f t="shared" si="3"/>
        <v>High</v>
      </c>
    </row>
    <row r="103" spans="1:5" ht="15" hidden="1" customHeight="1" x14ac:dyDescent="0.3">
      <c r="A103" t="s">
        <v>139</v>
      </c>
      <c r="B103" t="s">
        <v>26</v>
      </c>
      <c r="C103">
        <f>SUMIF(Data!$A:$A,A103,Data!$E:$E)</f>
        <v>3906.04</v>
      </c>
      <c r="D103">
        <f>SUMIF(Data!$A:$A,A103,Data!$I:$I)</f>
        <v>1240.6500000000001</v>
      </c>
      <c r="E103" t="str">
        <f t="shared" si="3"/>
        <v>Normal</v>
      </c>
    </row>
    <row r="104" spans="1:5" ht="15" hidden="1" customHeight="1" x14ac:dyDescent="0.3">
      <c r="A104" t="s">
        <v>58</v>
      </c>
      <c r="B104" t="s">
        <v>122</v>
      </c>
      <c r="C104">
        <f>SUMIF(Data!$A:$A,A104,Data!$E:$E)</f>
        <v>2699.75</v>
      </c>
      <c r="D104">
        <f>SUMIF(Data!$A:$A,A104,Data!$I:$I)</f>
        <v>837.06</v>
      </c>
      <c r="E104" t="str">
        <f t="shared" si="3"/>
        <v>Normal</v>
      </c>
    </row>
    <row r="105" spans="1:5" ht="15" customHeight="1" x14ac:dyDescent="0.3">
      <c r="A105" t="s">
        <v>106</v>
      </c>
      <c r="B105" t="s">
        <v>118</v>
      </c>
      <c r="C105">
        <f>SUMIF(Data!$A:$A,A105,Data!$E:$E)</f>
        <v>8490.18</v>
      </c>
      <c r="D105">
        <f>SUMIF(Data!$A:$A,A105,Data!$I:$I)</f>
        <v>2652.75</v>
      </c>
      <c r="E105" t="str">
        <f t="shared" si="3"/>
        <v>High</v>
      </c>
    </row>
    <row r="106" spans="1:5" ht="15" customHeight="1" x14ac:dyDescent="0.3">
      <c r="A106" t="s">
        <v>14</v>
      </c>
      <c r="B106" t="s">
        <v>75</v>
      </c>
      <c r="C106">
        <f>SUMIF(Data!$A:$A,A106,Data!$E:$E)</f>
        <v>8339</v>
      </c>
      <c r="D106">
        <f>SUMIF(Data!$A:$A,A106,Data!$I:$I)</f>
        <v>2988.7100000000005</v>
      </c>
      <c r="E106" t="str">
        <f t="shared" si="3"/>
        <v>High</v>
      </c>
    </row>
    <row r="107" spans="1:5" ht="15" hidden="1" customHeight="1" x14ac:dyDescent="0.3">
      <c r="A107" t="s">
        <v>137</v>
      </c>
      <c r="B107" t="s">
        <v>34</v>
      </c>
      <c r="C107">
        <f>SUMIF(Data!$A:$A,A107,Data!$E:$E)</f>
        <v>4162.4400000000005</v>
      </c>
      <c r="D107">
        <f>SUMIF(Data!$A:$A,A107,Data!$I:$I)</f>
        <v>1605.11</v>
      </c>
      <c r="E107" t="str">
        <f t="shared" si="3"/>
        <v>Normal</v>
      </c>
    </row>
    <row r="108" spans="1:5" ht="15" hidden="1" customHeight="1" x14ac:dyDescent="0.3">
      <c r="A108" t="s">
        <v>74</v>
      </c>
      <c r="B108" t="s">
        <v>62</v>
      </c>
      <c r="C108">
        <f>SUMIF(Data!$A:$A,A108,Data!$E:$E)</f>
        <v>6716.52</v>
      </c>
      <c r="D108">
        <f>SUMIF(Data!$A:$A,A108,Data!$I:$I)</f>
        <v>2327.84</v>
      </c>
      <c r="E108" t="str">
        <f t="shared" si="3"/>
        <v>Normal</v>
      </c>
    </row>
    <row r="109" spans="1:5" ht="15" customHeight="1" x14ac:dyDescent="0.3">
      <c r="A109" t="s">
        <v>35</v>
      </c>
      <c r="B109" t="s">
        <v>83</v>
      </c>
      <c r="C109">
        <f>SUMIF(Data!$A:$A,A109,Data!$E:$E)</f>
        <v>9371.81</v>
      </c>
      <c r="D109">
        <f>SUMIF(Data!$A:$A,A109,Data!$I:$I)</f>
        <v>2922.0199999999995</v>
      </c>
      <c r="E109" t="str">
        <f t="shared" si="3"/>
        <v>High</v>
      </c>
    </row>
    <row r="110" spans="1:5" ht="15" hidden="1" customHeight="1" x14ac:dyDescent="0.3">
      <c r="A110" t="s">
        <v>74</v>
      </c>
      <c r="B110" t="s">
        <v>57</v>
      </c>
      <c r="C110">
        <f>SUMIF(Data!$A:$A,A110,Data!$E:$E)</f>
        <v>6716.52</v>
      </c>
      <c r="D110">
        <f>SUMIF(Data!$A:$A,A110,Data!$I:$I)</f>
        <v>2327.84</v>
      </c>
      <c r="E110" t="str">
        <f t="shared" si="3"/>
        <v>Normal</v>
      </c>
    </row>
    <row r="111" spans="1:5" ht="15" hidden="1" customHeight="1" x14ac:dyDescent="0.3">
      <c r="A111" t="s">
        <v>9</v>
      </c>
      <c r="B111" t="s">
        <v>19</v>
      </c>
      <c r="C111">
        <f>SUMIF(Data!$A:$A,A111,Data!$E:$E)</f>
        <v>4640.1099999999997</v>
      </c>
      <c r="D111">
        <f>SUMIF(Data!$A:$A,A111,Data!$I:$I)</f>
        <v>1721.12</v>
      </c>
      <c r="E111" t="str">
        <f t="shared" si="3"/>
        <v>Normal</v>
      </c>
    </row>
    <row r="112" spans="1:5" ht="15" customHeight="1" x14ac:dyDescent="0.3">
      <c r="A112" t="s">
        <v>126</v>
      </c>
      <c r="B112" t="s">
        <v>19</v>
      </c>
      <c r="C112">
        <f>SUMIF(Data!$A:$A,A112,Data!$E:$E)</f>
        <v>7813.59</v>
      </c>
      <c r="D112">
        <f>SUMIF(Data!$A:$A,A112,Data!$I:$I)</f>
        <v>3211.82</v>
      </c>
      <c r="E112" t="str">
        <f t="shared" si="3"/>
        <v>High</v>
      </c>
    </row>
    <row r="113" spans="1:5" ht="15" customHeight="1" x14ac:dyDescent="0.3">
      <c r="A113" t="s">
        <v>120</v>
      </c>
      <c r="B113" t="s">
        <v>26</v>
      </c>
      <c r="C113">
        <f>SUMIF(Data!$A:$A,A113,Data!$E:$E)</f>
        <v>7583.1299999999992</v>
      </c>
      <c r="D113">
        <f>SUMIF(Data!$A:$A,A113,Data!$I:$I)</f>
        <v>2492.1</v>
      </c>
      <c r="E113" t="str">
        <f t="shared" si="3"/>
        <v>High</v>
      </c>
    </row>
    <row r="114" spans="1:5" ht="15" hidden="1" customHeight="1" x14ac:dyDescent="0.3">
      <c r="A114" t="s">
        <v>100</v>
      </c>
      <c r="B114" t="s">
        <v>67</v>
      </c>
      <c r="C114">
        <f>SUMIF(Data!$A:$A,A114,Data!$E:$E)</f>
        <v>6481.43</v>
      </c>
      <c r="D114">
        <f>SUMIF(Data!$A:$A,A114,Data!$I:$I)</f>
        <v>2210.7399999999998</v>
      </c>
      <c r="E114" t="str">
        <f t="shared" si="3"/>
        <v>Normal</v>
      </c>
    </row>
    <row r="115" spans="1:5" ht="15" hidden="1" customHeight="1" x14ac:dyDescent="0.3">
      <c r="A115" t="s">
        <v>38</v>
      </c>
      <c r="B115" t="s">
        <v>85</v>
      </c>
      <c r="C115">
        <f>SUMIF(Data!$A:$A,A115,Data!$E:$E)</f>
        <v>6505.2</v>
      </c>
      <c r="D115">
        <f>SUMIF(Data!$A:$A,A115,Data!$I:$I)</f>
        <v>2052.54</v>
      </c>
      <c r="E115" t="str">
        <f t="shared" si="3"/>
        <v>Normal</v>
      </c>
    </row>
    <row r="116" spans="1:5" ht="15" hidden="1" customHeight="1" x14ac:dyDescent="0.3">
      <c r="A116" t="s">
        <v>50</v>
      </c>
      <c r="B116" t="s">
        <v>57</v>
      </c>
      <c r="C116">
        <f>SUMIF(Data!$A:$A,A116,Data!$E:$E)</f>
        <v>5779.05</v>
      </c>
      <c r="D116">
        <f>SUMIF(Data!$A:$A,A116,Data!$I:$I)</f>
        <v>1611.6599999999999</v>
      </c>
      <c r="E116" t="str">
        <f t="shared" si="3"/>
        <v>Normal</v>
      </c>
    </row>
    <row r="117" spans="1:5" ht="15" hidden="1" customHeight="1" x14ac:dyDescent="0.3">
      <c r="A117" t="s">
        <v>92</v>
      </c>
      <c r="B117" t="s">
        <v>85</v>
      </c>
      <c r="C117">
        <f>SUMIF(Data!$A:$A,A117,Data!$E:$E)</f>
        <v>3762.2900000000004</v>
      </c>
      <c r="D117">
        <f>SUMIF(Data!$A:$A,A117,Data!$I:$I)</f>
        <v>1545.04</v>
      </c>
      <c r="E117" t="str">
        <f t="shared" si="3"/>
        <v>Normal</v>
      </c>
    </row>
    <row r="118" spans="1:5" ht="15" customHeight="1" x14ac:dyDescent="0.3">
      <c r="A118" t="s">
        <v>79</v>
      </c>
      <c r="B118" t="s">
        <v>44</v>
      </c>
      <c r="C118">
        <f>SUMIF(Data!$A:$A,A118,Data!$E:$E)</f>
        <v>8740.18</v>
      </c>
      <c r="D118">
        <f>SUMIF(Data!$A:$A,A118,Data!$I:$I)</f>
        <v>2848.62</v>
      </c>
      <c r="E118" t="str">
        <f t="shared" si="3"/>
        <v>High</v>
      </c>
    </row>
    <row r="119" spans="1:5" ht="15" hidden="1" customHeight="1" x14ac:dyDescent="0.3">
      <c r="A119" t="s">
        <v>43</v>
      </c>
      <c r="B119" t="s">
        <v>122</v>
      </c>
      <c r="C119">
        <f>SUMIF(Data!$A:$A,A119,Data!$E:$E)</f>
        <v>6729.8899999999994</v>
      </c>
      <c r="D119">
        <f>SUMIF(Data!$A:$A,A119,Data!$I:$I)</f>
        <v>2507.1799999999998</v>
      </c>
      <c r="E119" t="str">
        <f t="shared" si="3"/>
        <v>Normal</v>
      </c>
    </row>
    <row r="120" spans="1:5" ht="15" hidden="1" customHeight="1" x14ac:dyDescent="0.3">
      <c r="A120" t="s">
        <v>141</v>
      </c>
      <c r="B120" t="s">
        <v>57</v>
      </c>
      <c r="C120">
        <f>SUMIF(Data!$A:$A,A120,Data!$E:$E)</f>
        <v>4951.8899999999994</v>
      </c>
      <c r="D120">
        <f>SUMIF(Data!$A:$A,A120,Data!$I:$I)</f>
        <v>1821.6399999999999</v>
      </c>
      <c r="E120" t="str">
        <f t="shared" si="3"/>
        <v>Normal</v>
      </c>
    </row>
    <row r="121" spans="1:5" ht="15" hidden="1" customHeight="1" x14ac:dyDescent="0.3">
      <c r="A121" t="s">
        <v>33</v>
      </c>
      <c r="B121" t="s">
        <v>53</v>
      </c>
      <c r="C121">
        <f>SUMIF(Data!$A:$A,A121,Data!$E:$E)</f>
        <v>6549.55</v>
      </c>
      <c r="D121">
        <f>SUMIF(Data!$A:$A,A121,Data!$I:$I)</f>
        <v>1868.7700000000004</v>
      </c>
      <c r="E121" t="str">
        <f t="shared" si="3"/>
        <v>Normal</v>
      </c>
    </row>
    <row r="122" spans="1:5" ht="15" customHeight="1" x14ac:dyDescent="0.3">
      <c r="A122" t="s">
        <v>29</v>
      </c>
      <c r="B122" t="s">
        <v>44</v>
      </c>
      <c r="C122">
        <f>SUMIF(Data!$A:$A,A122,Data!$E:$E)</f>
        <v>9941.8799999999992</v>
      </c>
      <c r="D122">
        <f>SUMIF(Data!$A:$A,A122,Data!$I:$I)</f>
        <v>3936.2599999999998</v>
      </c>
      <c r="E122" t="str">
        <f t="shared" si="3"/>
        <v>High</v>
      </c>
    </row>
    <row r="123" spans="1:5" ht="15" customHeight="1" x14ac:dyDescent="0.3">
      <c r="A123" t="s">
        <v>81</v>
      </c>
      <c r="B123" t="s">
        <v>122</v>
      </c>
      <c r="C123">
        <f>SUMIF(Data!$A:$A,A123,Data!$E:$E)</f>
        <v>11611.060000000001</v>
      </c>
      <c r="D123">
        <f>SUMIF(Data!$A:$A,A123,Data!$I:$I)</f>
        <v>4201.59</v>
      </c>
      <c r="E123" t="str">
        <f t="shared" si="3"/>
        <v>High</v>
      </c>
    </row>
    <row r="124" spans="1:5" ht="15" customHeight="1" x14ac:dyDescent="0.3">
      <c r="A124" t="s">
        <v>81</v>
      </c>
      <c r="B124" t="s">
        <v>44</v>
      </c>
      <c r="C124">
        <f>SUMIF(Data!$A:$A,A124,Data!$E:$E)</f>
        <v>11611.060000000001</v>
      </c>
      <c r="D124">
        <f>SUMIF(Data!$A:$A,A124,Data!$I:$I)</f>
        <v>4201.59</v>
      </c>
      <c r="E124" t="str">
        <f t="shared" si="3"/>
        <v>High</v>
      </c>
    </row>
    <row r="125" spans="1:5" ht="15" hidden="1" customHeight="1" x14ac:dyDescent="0.3">
      <c r="A125" t="s">
        <v>100</v>
      </c>
      <c r="B125" t="s">
        <v>85</v>
      </c>
      <c r="C125">
        <f>SUMIF(Data!$A:$A,A125,Data!$E:$E)</f>
        <v>6481.43</v>
      </c>
      <c r="D125">
        <f>SUMIF(Data!$A:$A,A125,Data!$I:$I)</f>
        <v>2210.7399999999998</v>
      </c>
      <c r="E125" t="str">
        <f t="shared" si="3"/>
        <v>Normal</v>
      </c>
    </row>
    <row r="126" spans="1:5" ht="15" hidden="1" customHeight="1" x14ac:dyDescent="0.3">
      <c r="A126" t="s">
        <v>33</v>
      </c>
      <c r="B126" t="s">
        <v>30</v>
      </c>
      <c r="C126">
        <f>SUMIF(Data!$A:$A,A126,Data!$E:$E)</f>
        <v>6549.55</v>
      </c>
      <c r="D126">
        <f>SUMIF(Data!$A:$A,A126,Data!$I:$I)</f>
        <v>1868.7700000000004</v>
      </c>
      <c r="E126" t="str">
        <f t="shared" si="3"/>
        <v>Normal</v>
      </c>
    </row>
    <row r="127" spans="1:5" ht="15" hidden="1" customHeight="1" x14ac:dyDescent="0.3">
      <c r="A127" t="s">
        <v>139</v>
      </c>
      <c r="B127" t="s">
        <v>34</v>
      </c>
      <c r="C127">
        <f>SUMIF(Data!$A:$A,A127,Data!$E:$E)</f>
        <v>3906.04</v>
      </c>
      <c r="D127">
        <f>SUMIF(Data!$A:$A,A127,Data!$I:$I)</f>
        <v>1240.6500000000001</v>
      </c>
      <c r="E127" t="str">
        <f t="shared" si="3"/>
        <v>Normal</v>
      </c>
    </row>
    <row r="128" spans="1:5" ht="15" customHeight="1" x14ac:dyDescent="0.3">
      <c r="A128" t="s">
        <v>35</v>
      </c>
      <c r="B128" t="s">
        <v>103</v>
      </c>
      <c r="C128">
        <f>SUMIF(Data!$A:$A,A128,Data!$E:$E)</f>
        <v>9371.81</v>
      </c>
      <c r="D128">
        <f>SUMIF(Data!$A:$A,A128,Data!$I:$I)</f>
        <v>2922.0199999999995</v>
      </c>
      <c r="E128" t="str">
        <f t="shared" si="3"/>
        <v>High</v>
      </c>
    </row>
    <row r="129" spans="1:5" ht="15" customHeight="1" x14ac:dyDescent="0.3">
      <c r="A129" t="s">
        <v>35</v>
      </c>
      <c r="B129" t="s">
        <v>53</v>
      </c>
      <c r="C129">
        <f>SUMIF(Data!$A:$A,A129,Data!$E:$E)</f>
        <v>9371.81</v>
      </c>
      <c r="D129">
        <f>SUMIF(Data!$A:$A,A129,Data!$I:$I)</f>
        <v>2922.0199999999995</v>
      </c>
      <c r="E129" t="str">
        <f t="shared" si="3"/>
        <v>High</v>
      </c>
    </row>
    <row r="130" spans="1:5" ht="15" hidden="1" customHeight="1" x14ac:dyDescent="0.3">
      <c r="A130" t="s">
        <v>64</v>
      </c>
      <c r="B130" t="s">
        <v>57</v>
      </c>
      <c r="C130">
        <f>SUMIF(Data!$A:$A,A130,Data!$E:$E)</f>
        <v>4418.2800000000007</v>
      </c>
      <c r="D130">
        <f>SUMIF(Data!$A:$A,A130,Data!$I:$I)</f>
        <v>1605.23</v>
      </c>
      <c r="E130" t="str">
        <f t="shared" si="3"/>
        <v>Normal</v>
      </c>
    </row>
    <row r="131" spans="1:5" ht="15" customHeight="1" x14ac:dyDescent="0.3">
      <c r="A131" t="s">
        <v>126</v>
      </c>
      <c r="B131" t="s">
        <v>36</v>
      </c>
      <c r="C131">
        <f>SUMIF(Data!$A:$A,A131,Data!$E:$E)</f>
        <v>7813.59</v>
      </c>
      <c r="D131">
        <f>SUMIF(Data!$A:$A,A131,Data!$I:$I)</f>
        <v>3211.82</v>
      </c>
      <c r="E131" t="str">
        <f t="shared" si="3"/>
        <v>High</v>
      </c>
    </row>
    <row r="132" spans="1:5" ht="15" hidden="1" customHeight="1" x14ac:dyDescent="0.3">
      <c r="A132" t="s">
        <v>33</v>
      </c>
      <c r="B132" t="s">
        <v>122</v>
      </c>
      <c r="C132">
        <f>SUMIF(Data!$A:$A,A132,Data!$E:$E)</f>
        <v>6549.55</v>
      </c>
      <c r="D132">
        <f>SUMIF(Data!$A:$A,A132,Data!$I:$I)</f>
        <v>1868.7700000000004</v>
      </c>
      <c r="E132" t="str">
        <f t="shared" ref="E132:E163" si="4">IF(C132&gt;AVERAGE($C$4:$C$174),"High","Normal")</f>
        <v>Normal</v>
      </c>
    </row>
    <row r="133" spans="1:5" ht="15" hidden="1" customHeight="1" x14ac:dyDescent="0.3">
      <c r="A133" t="s">
        <v>64</v>
      </c>
      <c r="B133" t="s">
        <v>26</v>
      </c>
      <c r="C133">
        <f>SUMIF(Data!$A:$A,A133,Data!$E:$E)</f>
        <v>4418.2800000000007</v>
      </c>
      <c r="D133">
        <f>SUMIF(Data!$A:$A,A133,Data!$I:$I)</f>
        <v>1605.23</v>
      </c>
      <c r="E133" t="str">
        <f t="shared" si="4"/>
        <v>Normal</v>
      </c>
    </row>
    <row r="134" spans="1:5" ht="15" hidden="1" customHeight="1" x14ac:dyDescent="0.3">
      <c r="A134" t="s">
        <v>92</v>
      </c>
      <c r="B134" t="s">
        <v>118</v>
      </c>
      <c r="C134">
        <f>SUMIF(Data!$A:$A,A134,Data!$E:$E)</f>
        <v>3762.2900000000004</v>
      </c>
      <c r="D134">
        <f>SUMIF(Data!$A:$A,A134,Data!$I:$I)</f>
        <v>1545.04</v>
      </c>
      <c r="E134" t="str">
        <f t="shared" si="4"/>
        <v>Normal</v>
      </c>
    </row>
    <row r="135" spans="1:5" ht="15" hidden="1" customHeight="1" x14ac:dyDescent="0.3">
      <c r="A135" t="s">
        <v>92</v>
      </c>
      <c r="B135" t="s">
        <v>34</v>
      </c>
      <c r="C135">
        <f>SUMIF(Data!$A:$A,A135,Data!$E:$E)</f>
        <v>3762.2900000000004</v>
      </c>
      <c r="D135">
        <f>SUMIF(Data!$A:$A,A135,Data!$I:$I)</f>
        <v>1545.04</v>
      </c>
      <c r="E135" t="str">
        <f t="shared" si="4"/>
        <v>Normal</v>
      </c>
    </row>
    <row r="136" spans="1:5" ht="15" hidden="1" customHeight="1" x14ac:dyDescent="0.3">
      <c r="A136" t="s">
        <v>84</v>
      </c>
      <c r="B136" t="s">
        <v>19</v>
      </c>
      <c r="C136">
        <f>SUMIF(Data!$A:$A,A136,Data!$E:$E)</f>
        <v>3369.17</v>
      </c>
      <c r="D136">
        <f>SUMIF(Data!$A:$A,A136,Data!$I:$I)</f>
        <v>1497.25</v>
      </c>
      <c r="E136" t="str">
        <f t="shared" si="4"/>
        <v>Normal</v>
      </c>
    </row>
    <row r="137" spans="1:5" ht="15" hidden="1" customHeight="1" x14ac:dyDescent="0.3">
      <c r="A137" t="s">
        <v>41</v>
      </c>
      <c r="B137" t="s">
        <v>34</v>
      </c>
      <c r="C137">
        <f>SUMIF(Data!$A:$A,A137,Data!$E:$E)</f>
        <v>4259.22</v>
      </c>
      <c r="D137">
        <f>SUMIF(Data!$A:$A,A137,Data!$I:$I)</f>
        <v>1529.32</v>
      </c>
      <c r="E137" t="str">
        <f t="shared" si="4"/>
        <v>Normal</v>
      </c>
    </row>
    <row r="138" spans="1:5" ht="15" hidden="1" customHeight="1" x14ac:dyDescent="0.3">
      <c r="A138" t="s">
        <v>137</v>
      </c>
      <c r="B138" t="s">
        <v>83</v>
      </c>
      <c r="C138">
        <f>SUMIF(Data!$A:$A,A138,Data!$E:$E)</f>
        <v>4162.4400000000005</v>
      </c>
      <c r="D138">
        <f>SUMIF(Data!$A:$A,A138,Data!$I:$I)</f>
        <v>1605.11</v>
      </c>
      <c r="E138" t="str">
        <f t="shared" si="4"/>
        <v>Normal</v>
      </c>
    </row>
    <row r="139" spans="1:5" ht="15" customHeight="1" x14ac:dyDescent="0.3">
      <c r="A139" t="s">
        <v>81</v>
      </c>
      <c r="B139" t="s">
        <v>15</v>
      </c>
      <c r="C139">
        <f>SUMIF(Data!$A:$A,A139,Data!$E:$E)</f>
        <v>11611.060000000001</v>
      </c>
      <c r="D139">
        <f>SUMIF(Data!$A:$A,A139,Data!$I:$I)</f>
        <v>4201.59</v>
      </c>
      <c r="E139" t="str">
        <f t="shared" si="4"/>
        <v>High</v>
      </c>
    </row>
    <row r="140" spans="1:5" ht="15" customHeight="1" x14ac:dyDescent="0.3">
      <c r="A140" t="s">
        <v>55</v>
      </c>
      <c r="B140" t="s">
        <v>57</v>
      </c>
      <c r="C140">
        <f>SUMIF(Data!$A:$A,A140,Data!$E:$E)</f>
        <v>9760.7999999999993</v>
      </c>
      <c r="D140">
        <f>SUMIF(Data!$A:$A,A140,Data!$I:$I)</f>
        <v>3442.48</v>
      </c>
      <c r="E140" t="str">
        <f t="shared" si="4"/>
        <v>High</v>
      </c>
    </row>
    <row r="141" spans="1:5" ht="15" customHeight="1" x14ac:dyDescent="0.3">
      <c r="A141" t="s">
        <v>55</v>
      </c>
      <c r="B141" t="s">
        <v>36</v>
      </c>
      <c r="C141">
        <f>SUMIF(Data!$A:$A,A141,Data!$E:$E)</f>
        <v>9760.7999999999993</v>
      </c>
      <c r="D141">
        <f>SUMIF(Data!$A:$A,A141,Data!$I:$I)</f>
        <v>3442.48</v>
      </c>
      <c r="E141" t="str">
        <f t="shared" si="4"/>
        <v>High</v>
      </c>
    </row>
    <row r="142" spans="1:5" ht="15" hidden="1" customHeight="1" x14ac:dyDescent="0.3">
      <c r="A142" t="s">
        <v>49</v>
      </c>
      <c r="B142" t="s">
        <v>19</v>
      </c>
      <c r="C142">
        <f>SUMIF(Data!$A:$A,A142,Data!$E:$E)</f>
        <v>5913.68</v>
      </c>
      <c r="D142">
        <f>SUMIF(Data!$A:$A,A142,Data!$I:$I)</f>
        <v>2198.62</v>
      </c>
      <c r="E142" t="str">
        <f t="shared" si="4"/>
        <v>Normal</v>
      </c>
    </row>
    <row r="143" spans="1:5" ht="15" customHeight="1" x14ac:dyDescent="0.3">
      <c r="A143" t="s">
        <v>120</v>
      </c>
      <c r="B143" t="s">
        <v>72</v>
      </c>
      <c r="C143">
        <f>SUMIF(Data!$A:$A,A143,Data!$E:$E)</f>
        <v>7583.1299999999992</v>
      </c>
      <c r="D143">
        <f>SUMIF(Data!$A:$A,A143,Data!$I:$I)</f>
        <v>2492.1</v>
      </c>
      <c r="E143" t="str">
        <f t="shared" si="4"/>
        <v>High</v>
      </c>
    </row>
    <row r="144" spans="1:5" ht="15" hidden="1" customHeight="1" x14ac:dyDescent="0.3">
      <c r="A144" t="s">
        <v>141</v>
      </c>
      <c r="B144" t="s">
        <v>62</v>
      </c>
      <c r="C144">
        <f>SUMIF(Data!$A:$A,A144,Data!$E:$E)</f>
        <v>4951.8899999999994</v>
      </c>
      <c r="D144">
        <f>SUMIF(Data!$A:$A,A144,Data!$I:$I)</f>
        <v>1821.6399999999999</v>
      </c>
      <c r="E144" t="str">
        <f t="shared" si="4"/>
        <v>Normal</v>
      </c>
    </row>
    <row r="145" spans="1:5" ht="15" customHeight="1" x14ac:dyDescent="0.3">
      <c r="A145" t="s">
        <v>25</v>
      </c>
      <c r="B145" t="s">
        <v>53</v>
      </c>
      <c r="C145">
        <f>SUMIF(Data!$A:$A,A145,Data!$E:$E)</f>
        <v>7928.71</v>
      </c>
      <c r="D145">
        <f>SUMIF(Data!$A:$A,A145,Data!$I:$I)</f>
        <v>2965.4799999999996</v>
      </c>
      <c r="E145" t="str">
        <f t="shared" si="4"/>
        <v>High</v>
      </c>
    </row>
    <row r="146" spans="1:5" ht="15" customHeight="1" x14ac:dyDescent="0.3">
      <c r="A146" t="s">
        <v>81</v>
      </c>
      <c r="B146" t="s">
        <v>57</v>
      </c>
      <c r="C146">
        <f>SUMIF(Data!$A:$A,A146,Data!$E:$E)</f>
        <v>11611.060000000001</v>
      </c>
      <c r="D146">
        <f>SUMIF(Data!$A:$A,A146,Data!$I:$I)</f>
        <v>4201.59</v>
      </c>
      <c r="E146" t="str">
        <f t="shared" si="4"/>
        <v>High</v>
      </c>
    </row>
    <row r="147" spans="1:5" ht="15" customHeight="1" x14ac:dyDescent="0.3">
      <c r="A147" t="s">
        <v>120</v>
      </c>
      <c r="B147" t="s">
        <v>34</v>
      </c>
      <c r="C147">
        <f>SUMIF(Data!$A:$A,A147,Data!$E:$E)</f>
        <v>7583.1299999999992</v>
      </c>
      <c r="D147">
        <f>SUMIF(Data!$A:$A,A147,Data!$I:$I)</f>
        <v>2492.1</v>
      </c>
      <c r="E147" t="str">
        <f t="shared" si="4"/>
        <v>High</v>
      </c>
    </row>
    <row r="148" spans="1:5" ht="15" customHeight="1" x14ac:dyDescent="0.3">
      <c r="A148" t="s">
        <v>126</v>
      </c>
      <c r="B148" t="s">
        <v>10</v>
      </c>
      <c r="C148">
        <f>SUMIF(Data!$A:$A,A148,Data!$E:$E)</f>
        <v>7813.59</v>
      </c>
      <c r="D148">
        <f>SUMIF(Data!$A:$A,A148,Data!$I:$I)</f>
        <v>3211.82</v>
      </c>
      <c r="E148" t="str">
        <f t="shared" si="4"/>
        <v>High</v>
      </c>
    </row>
    <row r="149" spans="1:5" ht="15" customHeight="1" x14ac:dyDescent="0.3">
      <c r="A149" t="s">
        <v>14</v>
      </c>
      <c r="B149" t="s">
        <v>57</v>
      </c>
      <c r="C149">
        <f>SUMIF(Data!$A:$A,A149,Data!$E:$E)</f>
        <v>8339</v>
      </c>
      <c r="D149">
        <f>SUMIF(Data!$A:$A,A149,Data!$I:$I)</f>
        <v>2988.7100000000005</v>
      </c>
      <c r="E149" t="str">
        <f t="shared" si="4"/>
        <v>High</v>
      </c>
    </row>
    <row r="150" spans="1:5" ht="15" customHeight="1" x14ac:dyDescent="0.3">
      <c r="A150" t="s">
        <v>35</v>
      </c>
      <c r="B150" t="s">
        <v>75</v>
      </c>
      <c r="C150">
        <f>SUMIF(Data!$A:$A,A150,Data!$E:$E)</f>
        <v>9371.81</v>
      </c>
      <c r="D150">
        <f>SUMIF(Data!$A:$A,A150,Data!$I:$I)</f>
        <v>2922.0199999999995</v>
      </c>
      <c r="E150" t="str">
        <f t="shared" si="4"/>
        <v>High</v>
      </c>
    </row>
    <row r="151" spans="1:5" ht="15" hidden="1" customHeight="1" x14ac:dyDescent="0.3">
      <c r="A151" t="s">
        <v>38</v>
      </c>
      <c r="B151" t="s">
        <v>36</v>
      </c>
      <c r="C151">
        <f>SUMIF(Data!$A:$A,A151,Data!$E:$E)</f>
        <v>6505.2</v>
      </c>
      <c r="D151">
        <f>SUMIF(Data!$A:$A,A151,Data!$I:$I)</f>
        <v>2052.54</v>
      </c>
      <c r="E151" t="str">
        <f t="shared" si="4"/>
        <v>Normal</v>
      </c>
    </row>
    <row r="152" spans="1:5" ht="15" customHeight="1" x14ac:dyDescent="0.3">
      <c r="A152" t="s">
        <v>106</v>
      </c>
      <c r="B152" t="s">
        <v>53</v>
      </c>
      <c r="C152">
        <f>SUMIF(Data!$A:$A,A152,Data!$E:$E)</f>
        <v>8490.18</v>
      </c>
      <c r="D152">
        <f>SUMIF(Data!$A:$A,A152,Data!$I:$I)</f>
        <v>2652.75</v>
      </c>
      <c r="E152" t="str">
        <f t="shared" si="4"/>
        <v>High</v>
      </c>
    </row>
    <row r="153" spans="1:5" ht="15" hidden="1" customHeight="1" x14ac:dyDescent="0.3">
      <c r="A153" t="s">
        <v>100</v>
      </c>
      <c r="B153" t="s">
        <v>59</v>
      </c>
      <c r="C153">
        <f>SUMIF(Data!$A:$A,A153,Data!$E:$E)</f>
        <v>6481.43</v>
      </c>
      <c r="D153">
        <f>SUMIF(Data!$A:$A,A153,Data!$I:$I)</f>
        <v>2210.7399999999998</v>
      </c>
      <c r="E153" t="str">
        <f t="shared" si="4"/>
        <v>Normal</v>
      </c>
    </row>
    <row r="154" spans="1:5" ht="15" hidden="1" customHeight="1" x14ac:dyDescent="0.3">
      <c r="A154" t="s">
        <v>137</v>
      </c>
      <c r="B154" t="s">
        <v>72</v>
      </c>
      <c r="C154">
        <f>SUMIF(Data!$A:$A,A154,Data!$E:$E)</f>
        <v>4162.4400000000005</v>
      </c>
      <c r="D154">
        <f>SUMIF(Data!$A:$A,A154,Data!$I:$I)</f>
        <v>1605.11</v>
      </c>
      <c r="E154" t="str">
        <f t="shared" si="4"/>
        <v>Normal</v>
      </c>
    </row>
    <row r="155" spans="1:5" ht="15" hidden="1" customHeight="1" x14ac:dyDescent="0.3">
      <c r="A155" t="s">
        <v>141</v>
      </c>
      <c r="B155" t="s">
        <v>36</v>
      </c>
      <c r="C155">
        <f>SUMIF(Data!$A:$A,A155,Data!$E:$E)</f>
        <v>4951.8899999999994</v>
      </c>
      <c r="D155">
        <f>SUMIF(Data!$A:$A,A155,Data!$I:$I)</f>
        <v>1821.6399999999999</v>
      </c>
      <c r="E155" t="str">
        <f t="shared" si="4"/>
        <v>Normal</v>
      </c>
    </row>
    <row r="156" spans="1:5" ht="15" hidden="1" customHeight="1" x14ac:dyDescent="0.3">
      <c r="A156" t="s">
        <v>18</v>
      </c>
      <c r="B156" t="s">
        <v>36</v>
      </c>
      <c r="C156">
        <f>SUMIF(Data!$A:$A,A156,Data!$E:$E)</f>
        <v>3419.2</v>
      </c>
      <c r="D156">
        <f>SUMIF(Data!$A:$A,A156,Data!$I:$I)</f>
        <v>1257.21</v>
      </c>
      <c r="E156" t="str">
        <f t="shared" si="4"/>
        <v>Normal</v>
      </c>
    </row>
    <row r="157" spans="1:5" ht="15" customHeight="1" x14ac:dyDescent="0.3">
      <c r="A157" t="s">
        <v>126</v>
      </c>
      <c r="B157" t="s">
        <v>34</v>
      </c>
      <c r="C157">
        <f>SUMIF(Data!$A:$A,A157,Data!$E:$E)</f>
        <v>7813.59</v>
      </c>
      <c r="D157">
        <f>SUMIF(Data!$A:$A,A157,Data!$I:$I)</f>
        <v>3211.82</v>
      </c>
      <c r="E157" t="str">
        <f t="shared" si="4"/>
        <v>High</v>
      </c>
    </row>
    <row r="158" spans="1:5" ht="15" customHeight="1" x14ac:dyDescent="0.3">
      <c r="A158" t="s">
        <v>71</v>
      </c>
      <c r="B158" t="s">
        <v>98</v>
      </c>
      <c r="C158">
        <f>SUMIF(Data!$A:$A,A158,Data!$E:$E)</f>
        <v>10293.870000000001</v>
      </c>
      <c r="D158">
        <f>SUMIF(Data!$A:$A,A158,Data!$I:$I)</f>
        <v>3541.02</v>
      </c>
      <c r="E158" t="str">
        <f t="shared" si="4"/>
        <v>High</v>
      </c>
    </row>
    <row r="159" spans="1:5" ht="15" customHeight="1" x14ac:dyDescent="0.3">
      <c r="A159" t="s">
        <v>71</v>
      </c>
      <c r="B159" t="s">
        <v>83</v>
      </c>
      <c r="C159">
        <f>SUMIF(Data!$A:$A,A159,Data!$E:$E)</f>
        <v>10293.870000000001</v>
      </c>
      <c r="D159">
        <f>SUMIF(Data!$A:$A,A159,Data!$I:$I)</f>
        <v>3541.02</v>
      </c>
      <c r="E159" t="str">
        <f t="shared" si="4"/>
        <v>High</v>
      </c>
    </row>
    <row r="160" spans="1:5" ht="15" hidden="1" customHeight="1" x14ac:dyDescent="0.3">
      <c r="A160" t="s">
        <v>50</v>
      </c>
      <c r="B160" t="s">
        <v>75</v>
      </c>
      <c r="C160">
        <f>SUMIF(Data!$A:$A,A160,Data!$E:$E)</f>
        <v>5779.05</v>
      </c>
      <c r="D160">
        <f>SUMIF(Data!$A:$A,A160,Data!$I:$I)</f>
        <v>1611.6599999999999</v>
      </c>
      <c r="E160" t="str">
        <f t="shared" si="4"/>
        <v>Normal</v>
      </c>
    </row>
    <row r="161" spans="1:5" ht="15" customHeight="1" x14ac:dyDescent="0.3">
      <c r="A161" t="s">
        <v>79</v>
      </c>
      <c r="B161" t="s">
        <v>75</v>
      </c>
      <c r="C161">
        <f>SUMIF(Data!$A:$A,A161,Data!$E:$E)</f>
        <v>8740.18</v>
      </c>
      <c r="D161">
        <f>SUMIF(Data!$A:$A,A161,Data!$I:$I)</f>
        <v>2848.62</v>
      </c>
      <c r="E161" t="str">
        <f t="shared" si="4"/>
        <v>High</v>
      </c>
    </row>
    <row r="162" spans="1:5" ht="15" hidden="1" customHeight="1" x14ac:dyDescent="0.3">
      <c r="A162" t="s">
        <v>38</v>
      </c>
      <c r="B162" t="s">
        <v>72</v>
      </c>
      <c r="C162">
        <f>SUMIF(Data!$A:$A,A162,Data!$E:$E)</f>
        <v>6505.2</v>
      </c>
      <c r="D162">
        <f>SUMIF(Data!$A:$A,A162,Data!$I:$I)</f>
        <v>2052.54</v>
      </c>
      <c r="E162" t="str">
        <f t="shared" si="4"/>
        <v>Normal</v>
      </c>
    </row>
    <row r="163" spans="1:5" ht="15" hidden="1" customHeight="1" x14ac:dyDescent="0.3">
      <c r="A163" t="s">
        <v>49</v>
      </c>
      <c r="B163" t="s">
        <v>83</v>
      </c>
      <c r="C163">
        <f>SUMIF(Data!$A:$A,A163,Data!$E:$E)</f>
        <v>5913.68</v>
      </c>
      <c r="D163">
        <f>SUMIF(Data!$A:$A,A163,Data!$I:$I)</f>
        <v>2198.62</v>
      </c>
      <c r="E163" t="str">
        <f t="shared" si="4"/>
        <v>Normal</v>
      </c>
    </row>
    <row r="164" spans="1:5" ht="15" hidden="1" customHeight="1" x14ac:dyDescent="0.3">
      <c r="A164" t="s">
        <v>50</v>
      </c>
      <c r="B164" t="s">
        <v>30</v>
      </c>
      <c r="C164">
        <f>SUMIF(Data!$A:$A,A164,Data!$E:$E)</f>
        <v>5779.05</v>
      </c>
      <c r="D164">
        <f>SUMIF(Data!$A:$A,A164,Data!$I:$I)</f>
        <v>1611.6599999999999</v>
      </c>
      <c r="E164" t="str">
        <f t="shared" ref="E164:E174" si="5">IF(C164&gt;AVERAGE($C$4:$C$174),"High","Normal")</f>
        <v>Normal</v>
      </c>
    </row>
    <row r="165" spans="1:5" ht="15" hidden="1" customHeight="1" x14ac:dyDescent="0.3">
      <c r="A165" t="s">
        <v>38</v>
      </c>
      <c r="B165" t="s">
        <v>30</v>
      </c>
      <c r="C165">
        <f>SUMIF(Data!$A:$A,A165,Data!$E:$E)</f>
        <v>6505.2</v>
      </c>
      <c r="D165">
        <f>SUMIF(Data!$A:$A,A165,Data!$I:$I)</f>
        <v>2052.54</v>
      </c>
      <c r="E165" t="str">
        <f t="shared" si="5"/>
        <v>Normal</v>
      </c>
    </row>
    <row r="166" spans="1:5" ht="15" customHeight="1" x14ac:dyDescent="0.3">
      <c r="A166" t="s">
        <v>29</v>
      </c>
      <c r="B166" t="s">
        <v>10</v>
      </c>
      <c r="C166">
        <f>SUMIF(Data!$A:$A,A166,Data!$E:$E)</f>
        <v>9941.8799999999992</v>
      </c>
      <c r="D166">
        <f>SUMIF(Data!$A:$A,A166,Data!$I:$I)</f>
        <v>3936.2599999999998</v>
      </c>
      <c r="E166" t="str">
        <f t="shared" si="5"/>
        <v>High</v>
      </c>
    </row>
    <row r="167" spans="1:5" ht="15" customHeight="1" x14ac:dyDescent="0.3">
      <c r="A167" t="s">
        <v>25</v>
      </c>
      <c r="B167" t="s">
        <v>72</v>
      </c>
      <c r="C167">
        <f>SUMIF(Data!$A:$A,A167,Data!$E:$E)</f>
        <v>7928.71</v>
      </c>
      <c r="D167">
        <f>SUMIF(Data!$A:$A,A167,Data!$I:$I)</f>
        <v>2965.4799999999996</v>
      </c>
      <c r="E167" t="str">
        <f t="shared" si="5"/>
        <v>High</v>
      </c>
    </row>
    <row r="168" spans="1:5" ht="15" hidden="1" customHeight="1" x14ac:dyDescent="0.3">
      <c r="A168" t="s">
        <v>141</v>
      </c>
      <c r="B168" t="s">
        <v>122</v>
      </c>
      <c r="C168">
        <f>SUMIF(Data!$A:$A,A168,Data!$E:$E)</f>
        <v>4951.8899999999994</v>
      </c>
      <c r="D168">
        <f>SUMIF(Data!$A:$A,A168,Data!$I:$I)</f>
        <v>1821.6399999999999</v>
      </c>
      <c r="E168" t="str">
        <f t="shared" si="5"/>
        <v>Normal</v>
      </c>
    </row>
    <row r="169" spans="1:5" ht="15" customHeight="1" x14ac:dyDescent="0.3">
      <c r="A169" t="s">
        <v>55</v>
      </c>
      <c r="B169" t="s">
        <v>85</v>
      </c>
      <c r="C169">
        <f>SUMIF(Data!$A:$A,A169,Data!$E:$E)</f>
        <v>9760.7999999999993</v>
      </c>
      <c r="D169">
        <f>SUMIF(Data!$A:$A,A169,Data!$I:$I)</f>
        <v>3442.48</v>
      </c>
      <c r="E169" t="str">
        <f t="shared" si="5"/>
        <v>High</v>
      </c>
    </row>
    <row r="170" spans="1:5" ht="15" hidden="1" customHeight="1" x14ac:dyDescent="0.3">
      <c r="A170" t="s">
        <v>43</v>
      </c>
      <c r="B170" t="s">
        <v>53</v>
      </c>
      <c r="C170">
        <f>SUMIF(Data!$A:$A,A170,Data!$E:$E)</f>
        <v>6729.8899999999994</v>
      </c>
      <c r="D170">
        <f>SUMIF(Data!$A:$A,A170,Data!$I:$I)</f>
        <v>2507.1799999999998</v>
      </c>
      <c r="E170" t="str">
        <f t="shared" si="5"/>
        <v>Normal</v>
      </c>
    </row>
    <row r="171" spans="1:5" ht="15" customHeight="1" x14ac:dyDescent="0.3">
      <c r="A171" t="s">
        <v>120</v>
      </c>
      <c r="B171" t="s">
        <v>42</v>
      </c>
      <c r="C171">
        <f>SUMIF(Data!$A:$A,A171,Data!$E:$E)</f>
        <v>7583.1299999999992</v>
      </c>
      <c r="D171">
        <f>SUMIF(Data!$A:$A,A171,Data!$I:$I)</f>
        <v>2492.1</v>
      </c>
      <c r="E171" t="str">
        <f t="shared" si="5"/>
        <v>High</v>
      </c>
    </row>
    <row r="172" spans="1:5" ht="15" customHeight="1" x14ac:dyDescent="0.3">
      <c r="A172" t="s">
        <v>71</v>
      </c>
      <c r="B172" t="s">
        <v>15</v>
      </c>
      <c r="C172">
        <f>SUMIF(Data!$A:$A,A172,Data!$E:$E)</f>
        <v>10293.870000000001</v>
      </c>
      <c r="D172">
        <f>SUMIF(Data!$A:$A,A172,Data!$I:$I)</f>
        <v>3541.02</v>
      </c>
      <c r="E172" t="str">
        <f t="shared" si="5"/>
        <v>High</v>
      </c>
    </row>
    <row r="173" spans="1:5" ht="15" customHeight="1" x14ac:dyDescent="0.3">
      <c r="A173" t="s">
        <v>81</v>
      </c>
      <c r="B173" t="s">
        <v>53</v>
      </c>
      <c r="C173">
        <f>SUMIF(Data!$A:$A,A173,Data!$E:$E)</f>
        <v>11611.060000000001</v>
      </c>
      <c r="D173">
        <f>SUMIF(Data!$A:$A,A173,Data!$I:$I)</f>
        <v>4201.59</v>
      </c>
      <c r="E173" t="str">
        <f t="shared" si="5"/>
        <v>High</v>
      </c>
    </row>
    <row r="174" spans="1:5" ht="15" hidden="1" customHeight="1" x14ac:dyDescent="0.3">
      <c r="A174" t="s">
        <v>84</v>
      </c>
      <c r="B174" t="s">
        <v>42</v>
      </c>
      <c r="C174">
        <f>SUMIF(Data!$A:$A,A174,Data!$E:$E)</f>
        <v>3369.17</v>
      </c>
      <c r="D174">
        <f>SUMIF(Data!$A:$A,A174,Data!$I:$I)</f>
        <v>1497.25</v>
      </c>
      <c r="E174" t="str">
        <f t="shared" si="5"/>
        <v>Normal</v>
      </c>
    </row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</sheetData>
  <autoFilter ref="A4:E174" xr:uid="{00000000-0001-0000-0700-000000000000}">
    <filterColumn colId="4">
      <filters>
        <filter val="High"/>
      </filters>
    </filterColumn>
  </autoFilter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G18"/>
  <sheetViews>
    <sheetView zoomScaleNormal="100" workbookViewId="0">
      <selection activeCell="C19" sqref="C19"/>
    </sheetView>
  </sheetViews>
  <sheetFormatPr defaultColWidth="8.6640625" defaultRowHeight="14.4" x14ac:dyDescent="0.3"/>
  <cols>
    <col min="1" max="1" width="12.5546875" bestFit="1" customWidth="1"/>
    <col min="2" max="2" width="15.5546875" bestFit="1" customWidth="1"/>
    <col min="3" max="3" width="9" bestFit="1" customWidth="1"/>
    <col min="4" max="4" width="10" bestFit="1" customWidth="1"/>
    <col min="5" max="5" width="9" bestFit="1" customWidth="1"/>
    <col min="6" max="6" width="13.5546875" bestFit="1" customWidth="1"/>
    <col min="7" max="7" width="10.77734375" bestFit="1" customWidth="1"/>
  </cols>
  <sheetData>
    <row r="1" spans="1:7" ht="17.25" customHeight="1" x14ac:dyDescent="0.3">
      <c r="A1" s="17" t="s">
        <v>261</v>
      </c>
      <c r="B1" s="17"/>
      <c r="C1" s="17"/>
      <c r="D1" s="17"/>
    </row>
    <row r="3" spans="1:7" ht="15" customHeight="1" x14ac:dyDescent="0.3">
      <c r="A3" s="10" t="s">
        <v>269</v>
      </c>
      <c r="B3" s="10" t="s">
        <v>268</v>
      </c>
    </row>
    <row r="4" spans="1:7" ht="15" customHeight="1" x14ac:dyDescent="0.3">
      <c r="A4" s="10" t="s">
        <v>266</v>
      </c>
      <c r="B4" t="s">
        <v>12</v>
      </c>
      <c r="C4" t="s">
        <v>16</v>
      </c>
      <c r="D4" t="s">
        <v>24</v>
      </c>
      <c r="E4" t="s">
        <v>31</v>
      </c>
      <c r="F4" t="s">
        <v>45</v>
      </c>
      <c r="G4" t="s">
        <v>267</v>
      </c>
    </row>
    <row r="5" spans="1:7" ht="15" customHeight="1" x14ac:dyDescent="0.3">
      <c r="A5" s="11" t="s">
        <v>40</v>
      </c>
      <c r="B5">
        <v>11297.150000000001</v>
      </c>
      <c r="C5">
        <v>12200.26</v>
      </c>
      <c r="D5">
        <v>6621.24</v>
      </c>
      <c r="E5">
        <v>4876.96</v>
      </c>
      <c r="F5">
        <v>8472.7199999999993</v>
      </c>
      <c r="G5">
        <v>43468.33</v>
      </c>
    </row>
    <row r="6" spans="1:7" ht="15" customHeight="1" x14ac:dyDescent="0.3">
      <c r="A6" s="11" t="s">
        <v>20</v>
      </c>
      <c r="B6">
        <v>11389.090000000002</v>
      </c>
      <c r="C6">
        <v>2401.4499999999998</v>
      </c>
      <c r="D6">
        <v>2869.54</v>
      </c>
      <c r="E6">
        <v>7592.3399999999992</v>
      </c>
      <c r="F6">
        <v>8189.2200000000012</v>
      </c>
      <c r="G6">
        <v>32441.640000000003</v>
      </c>
    </row>
    <row r="7" spans="1:7" ht="15" customHeight="1" x14ac:dyDescent="0.3">
      <c r="A7" s="11" t="s">
        <v>27</v>
      </c>
      <c r="B7">
        <v>8037.0100000000011</v>
      </c>
      <c r="C7">
        <v>8422.82</v>
      </c>
      <c r="D7">
        <v>8191.7099999999991</v>
      </c>
      <c r="E7">
        <v>6978.08</v>
      </c>
      <c r="F7">
        <v>3345.8</v>
      </c>
      <c r="G7">
        <v>34975.420000000006</v>
      </c>
    </row>
    <row r="8" spans="1:7" ht="15" customHeight="1" x14ac:dyDescent="0.3">
      <c r="A8" s="11" t="s">
        <v>23</v>
      </c>
      <c r="B8">
        <v>9588.0400000000009</v>
      </c>
      <c r="C8">
        <v>8393.630000000001</v>
      </c>
      <c r="D8">
        <v>11989.070000000003</v>
      </c>
      <c r="E8">
        <v>7982.73</v>
      </c>
      <c r="F8">
        <v>2295.3199999999997</v>
      </c>
      <c r="G8">
        <v>40248.79</v>
      </c>
    </row>
    <row r="9" spans="1:7" ht="15" customHeight="1" x14ac:dyDescent="0.3">
      <c r="A9" s="11" t="s">
        <v>11</v>
      </c>
      <c r="B9">
        <v>6691.17</v>
      </c>
      <c r="C9">
        <v>10509.429999999998</v>
      </c>
      <c r="D9">
        <v>11372.44</v>
      </c>
      <c r="E9">
        <v>9182.7800000000007</v>
      </c>
      <c r="F9">
        <v>6327.76</v>
      </c>
      <c r="G9">
        <v>44083.58</v>
      </c>
    </row>
    <row r="10" spans="1:7" ht="15" customHeight="1" x14ac:dyDescent="0.3">
      <c r="A10" s="11" t="s">
        <v>267</v>
      </c>
      <c r="B10">
        <v>47002.460000000006</v>
      </c>
      <c r="C10">
        <v>41927.589999999997</v>
      </c>
      <c r="D10">
        <v>41044</v>
      </c>
      <c r="E10">
        <v>36612.89</v>
      </c>
      <c r="F10">
        <v>28630.82</v>
      </c>
      <c r="G10">
        <v>195217.76</v>
      </c>
    </row>
    <row r="12" spans="1:7" ht="15" customHeight="1" x14ac:dyDescent="0.3"/>
    <row r="13" spans="1:7" ht="15" customHeight="1" x14ac:dyDescent="0.3">
      <c r="A13" s="7"/>
      <c r="B13" s="7"/>
      <c r="C13" s="7"/>
      <c r="D13" s="7"/>
      <c r="E13" s="7"/>
      <c r="F13" s="7"/>
    </row>
    <row r="14" spans="1:7" ht="15" customHeight="1" x14ac:dyDescent="0.3"/>
    <row r="15" spans="1:7" ht="15" customHeight="1" x14ac:dyDescent="0.3"/>
    <row r="16" spans="1:7" ht="15" customHeight="1" x14ac:dyDescent="0.3"/>
    <row r="17" ht="15" customHeight="1" x14ac:dyDescent="0.3"/>
    <row r="18" ht="15" customHeight="1" x14ac:dyDescent="0.3"/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H28"/>
  <sheetViews>
    <sheetView topLeftCell="A31" zoomScaleNormal="100" workbookViewId="0">
      <selection activeCell="L21" sqref="L21"/>
    </sheetView>
  </sheetViews>
  <sheetFormatPr defaultColWidth="8.6640625" defaultRowHeight="14.4" x14ac:dyDescent="0.3"/>
  <cols>
    <col min="2" max="2" width="13.88671875" customWidth="1"/>
    <col min="4" max="4" width="25.77734375" customWidth="1"/>
  </cols>
  <sheetData>
    <row r="1" spans="1:4" ht="17.25" customHeight="1" x14ac:dyDescent="0.3">
      <c r="A1" s="17" t="s">
        <v>262</v>
      </c>
      <c r="B1" s="17"/>
      <c r="C1" s="17"/>
      <c r="D1" s="17"/>
    </row>
    <row r="3" spans="1:4" ht="15" customHeight="1" x14ac:dyDescent="0.3">
      <c r="A3" t="s">
        <v>263</v>
      </c>
    </row>
    <row r="4" spans="1:4" ht="15" customHeight="1" x14ac:dyDescent="0.3">
      <c r="A4" s="2" t="s">
        <v>2</v>
      </c>
      <c r="B4" s="2" t="s">
        <v>251</v>
      </c>
    </row>
    <row r="5" spans="1:4" ht="15" customHeight="1" x14ac:dyDescent="0.3">
      <c r="A5" t="s">
        <v>40</v>
      </c>
      <c r="B5">
        <f>SUMIF(Data!$C:$C,A5,Data!$E:$E)</f>
        <v>43468.33</v>
      </c>
    </row>
    <row r="6" spans="1:4" ht="15" customHeight="1" x14ac:dyDescent="0.3">
      <c r="A6" t="s">
        <v>20</v>
      </c>
      <c r="B6">
        <f>SUMIF(Data!$C:$C,A6,Data!$E:$E)</f>
        <v>32441.64</v>
      </c>
    </row>
    <row r="7" spans="1:4" ht="15" customHeight="1" x14ac:dyDescent="0.3">
      <c r="A7" t="s">
        <v>27</v>
      </c>
      <c r="B7">
        <f>SUMIF(Data!$C:$C,A7,Data!$E:$E)</f>
        <v>34975.42</v>
      </c>
    </row>
    <row r="8" spans="1:4" ht="15" customHeight="1" x14ac:dyDescent="0.3">
      <c r="A8" t="s">
        <v>23</v>
      </c>
      <c r="B8">
        <f>SUMIF(Data!$C:$C,A8,Data!$E:$E)</f>
        <v>40248.79</v>
      </c>
    </row>
    <row r="9" spans="1:4" ht="15" customHeight="1" x14ac:dyDescent="0.3">
      <c r="A9" t="s">
        <v>11</v>
      </c>
      <c r="B9">
        <f>SUMIF(Data!$C:$C,A9,Data!$E:$E)</f>
        <v>44083.58</v>
      </c>
    </row>
    <row r="10" spans="1:4" ht="15" customHeight="1" x14ac:dyDescent="0.3"/>
    <row r="11" spans="1:4" ht="15" customHeight="1" x14ac:dyDescent="0.3"/>
    <row r="12" spans="1:4" ht="15" customHeight="1" x14ac:dyDescent="0.3"/>
    <row r="13" spans="1:4" ht="15" customHeight="1" x14ac:dyDescent="0.3"/>
    <row r="14" spans="1:4" ht="15" customHeight="1" x14ac:dyDescent="0.3"/>
    <row r="15" spans="1:4" ht="15" customHeight="1" x14ac:dyDescent="0.3"/>
    <row r="16" spans="1:4" ht="15" customHeight="1" x14ac:dyDescent="0.3"/>
    <row r="20" spans="1:8" ht="15" customHeight="1" x14ac:dyDescent="0.3"/>
    <row r="21" spans="1:8" ht="15" customHeight="1" x14ac:dyDescent="0.3"/>
    <row r="22" spans="1:8" ht="15" customHeight="1" x14ac:dyDescent="0.3"/>
    <row r="23" spans="1:8" ht="15" customHeight="1" x14ac:dyDescent="0.3">
      <c r="A23" s="2" t="s">
        <v>264</v>
      </c>
      <c r="B23" s="2" t="s">
        <v>4</v>
      </c>
    </row>
    <row r="24" spans="1:8" ht="15" customHeight="1" x14ac:dyDescent="0.3">
      <c r="A24" t="s">
        <v>12</v>
      </c>
      <c r="B24">
        <f>SUMIF(Data!$D:$D,A24,Data!$E:$E)</f>
        <v>47002.460000000006</v>
      </c>
    </row>
    <row r="25" spans="1:8" x14ac:dyDescent="0.3">
      <c r="A25" t="s">
        <v>16</v>
      </c>
      <c r="B25">
        <f>SUMIF(Data!$D:$D,A25,Data!$E:$E)</f>
        <v>41927.589999999989</v>
      </c>
      <c r="G25" s="7"/>
      <c r="H25" s="7"/>
    </row>
    <row r="26" spans="1:8" x14ac:dyDescent="0.3">
      <c r="A26" t="s">
        <v>24</v>
      </c>
      <c r="B26">
        <f>SUMIF(Data!$D:$D,A26,Data!$E:$E)</f>
        <v>41044.000000000007</v>
      </c>
    </row>
    <row r="27" spans="1:8" x14ac:dyDescent="0.3">
      <c r="A27" t="s">
        <v>31</v>
      </c>
      <c r="B27">
        <f>SUMIF(Data!$D:$D,A27,Data!$E:$E)</f>
        <v>36612.89</v>
      </c>
    </row>
    <row r="28" spans="1:8" x14ac:dyDescent="0.3">
      <c r="A28" t="s">
        <v>45</v>
      </c>
      <c r="B28">
        <f>SUMIF(Data!$D:$D,A28,Data!$E:$E)</f>
        <v>28630.819999999992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L12"/>
  <sheetViews>
    <sheetView zoomScaleNormal="100" workbookViewId="0">
      <selection activeCell="N17" sqref="N17"/>
    </sheetView>
  </sheetViews>
  <sheetFormatPr defaultColWidth="8.6640625" defaultRowHeight="14.4" x14ac:dyDescent="0.3"/>
  <cols>
    <col min="2" max="2" width="26.77734375" customWidth="1"/>
    <col min="4" max="4" width="13.6640625" customWidth="1"/>
    <col min="5" max="5" width="22.5546875" customWidth="1"/>
    <col min="7" max="7" width="13.77734375" customWidth="1"/>
    <col min="8" max="8" width="18.33203125" customWidth="1"/>
  </cols>
  <sheetData>
    <row r="1" spans="1:12" ht="33.6" customHeight="1" x14ac:dyDescent="0.45">
      <c r="A1" s="35" t="s">
        <v>265</v>
      </c>
      <c r="B1" s="36"/>
      <c r="C1" s="36"/>
      <c r="D1" s="36"/>
      <c r="E1" s="36"/>
      <c r="F1" s="36"/>
      <c r="G1" s="36"/>
      <c r="H1" s="36"/>
    </row>
    <row r="3" spans="1:12" ht="24" customHeight="1" x14ac:dyDescent="0.3">
      <c r="A3" s="37" t="s">
        <v>270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15" customHeight="1" x14ac:dyDescent="0.3">
      <c r="A5" s="38" t="s">
        <v>271</v>
      </c>
      <c r="B5" s="38"/>
      <c r="C5" s="38"/>
      <c r="D5" s="24" t="s">
        <v>272</v>
      </c>
      <c r="E5" s="24"/>
      <c r="F5" s="24"/>
      <c r="G5" s="22" t="s">
        <v>273</v>
      </c>
      <c r="H5" s="22"/>
      <c r="I5" s="22"/>
      <c r="J5" s="39" t="s">
        <v>274</v>
      </c>
      <c r="K5" s="39"/>
      <c r="L5" s="39"/>
    </row>
    <row r="6" spans="1:12" ht="19.2" x14ac:dyDescent="0.3">
      <c r="A6" s="30">
        <f>SUM(Data!E:E)</f>
        <v>195217.75999999992</v>
      </c>
      <c r="B6" s="30"/>
      <c r="C6" s="30"/>
      <c r="D6" s="31">
        <f>SUM(Data!I:I)</f>
        <v>68287.010000000009</v>
      </c>
      <c r="E6" s="31"/>
      <c r="F6" s="31"/>
      <c r="G6" s="26">
        <f>COUNTA(Data!A:A)</f>
        <v>201</v>
      </c>
      <c r="H6" s="26"/>
      <c r="I6" s="26"/>
      <c r="J6" s="32">
        <f>SUM(Data!E:E)/COUNTA(Data!A:A)</f>
        <v>971.23263681592005</v>
      </c>
      <c r="K6" s="32"/>
      <c r="L6" s="32"/>
    </row>
    <row r="7" spans="1:12" x14ac:dyDescent="0.3">
      <c r="A7" s="33">
        <f>COUNTA(Data!A:A)</f>
        <v>201</v>
      </c>
      <c r="B7" s="33"/>
      <c r="C7" s="33"/>
      <c r="D7" s="20" t="s">
        <v>275</v>
      </c>
      <c r="E7" s="20"/>
      <c r="F7" s="20"/>
      <c r="G7" s="18" t="s">
        <v>276</v>
      </c>
      <c r="H7" s="18"/>
      <c r="I7" s="18"/>
      <c r="J7" s="34" t="s">
        <v>277</v>
      </c>
      <c r="K7" s="34"/>
      <c r="L7" s="34"/>
    </row>
    <row r="8" spans="1:12" ht="15" customHeight="1" x14ac:dyDescent="0.3"/>
    <row r="9" spans="1:12" ht="15" customHeight="1" x14ac:dyDescent="0.3">
      <c r="A9" s="22" t="s">
        <v>278</v>
      </c>
      <c r="B9" s="22"/>
      <c r="C9" s="22"/>
      <c r="D9" s="23" t="s">
        <v>279</v>
      </c>
      <c r="E9" s="23"/>
      <c r="F9" s="23"/>
      <c r="G9" s="24" t="s">
        <v>280</v>
      </c>
      <c r="H9" s="24"/>
      <c r="I9" s="24"/>
      <c r="J9" s="25" t="s">
        <v>281</v>
      </c>
      <c r="K9" s="25"/>
      <c r="L9" s="25"/>
    </row>
    <row r="10" spans="1:12" ht="15" customHeight="1" x14ac:dyDescent="0.3">
      <c r="A10" s="26" t="str">
        <f>INDEX(Data!A:A, MATCH(MAX(Data!E:E), Data!E:E, 0))</f>
        <v>CUST015</v>
      </c>
      <c r="B10" s="26"/>
      <c r="C10" s="26"/>
      <c r="D10" s="27" t="str">
        <f>INDEX(Data!D2:D100, MATCH(MAX(Data!E2:E100), Data!E2:E100, 0))</f>
        <v>Office Supplies</v>
      </c>
      <c r="E10" s="27"/>
      <c r="F10" s="27"/>
      <c r="G10" s="28" t="str">
        <f>INDEX(Data!C2:C100, MATCH(MAX(Data!E2:E100),Data!E2:E100, 0))</f>
        <v>West</v>
      </c>
      <c r="H10" s="28"/>
      <c r="I10" s="28"/>
      <c r="J10" s="29">
        <f>AVERAGE(Data!G:G)</f>
        <v>9.7250000000000003E-2</v>
      </c>
      <c r="K10" s="29"/>
      <c r="L10" s="29"/>
    </row>
    <row r="11" spans="1:12" ht="15" customHeight="1" x14ac:dyDescent="0.3">
      <c r="A11" s="18" t="s">
        <v>282</v>
      </c>
      <c r="B11" s="18"/>
      <c r="C11" s="18"/>
      <c r="D11" s="19" t="s">
        <v>283</v>
      </c>
      <c r="E11" s="19"/>
      <c r="F11" s="19"/>
      <c r="G11" s="20" t="s">
        <v>284</v>
      </c>
      <c r="H11" s="20"/>
      <c r="I11" s="20"/>
      <c r="J11" s="21" t="s">
        <v>285</v>
      </c>
      <c r="K11" s="21"/>
      <c r="L11" s="21"/>
    </row>
    <row r="12" spans="1:12" ht="15" customHeight="1" x14ac:dyDescent="0.3"/>
  </sheetData>
  <mergeCells count="26">
    <mergeCell ref="A1:H1"/>
    <mergeCell ref="A3:L4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A11:C11"/>
    <mergeCell ref="D11:F11"/>
    <mergeCell ref="G11:I11"/>
    <mergeCell ref="J11:L11"/>
    <mergeCell ref="A9:C9"/>
    <mergeCell ref="D9:F9"/>
    <mergeCell ref="G9:I9"/>
    <mergeCell ref="J9:L9"/>
    <mergeCell ref="A10:C10"/>
    <mergeCell ref="D10:F10"/>
    <mergeCell ref="G10:I10"/>
    <mergeCell ref="J10:L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Conditional</vt:lpstr>
      <vt:lpstr>WhatIf</vt:lpstr>
      <vt:lpstr>DescriptiveStats</vt:lpstr>
      <vt:lpstr>Storytelling</vt:lpstr>
      <vt:lpstr>Timestamp</vt:lpstr>
      <vt:lpstr>HighValue</vt:lpstr>
      <vt:lpstr>PivotInstructions</vt:lpstr>
      <vt:lpstr>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Priyansh Vekariya</cp:lastModifiedBy>
  <cp:revision>0</cp:revision>
  <dcterms:created xsi:type="dcterms:W3CDTF">2026-04-10T11:30:25Z</dcterms:created>
  <dcterms:modified xsi:type="dcterms:W3CDTF">2026-04-10T13:03:30Z</dcterms:modified>
  <dc:language>en-US</dc:language>
</cp:coreProperties>
</file>