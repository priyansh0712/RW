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iyansh\OneDrive\Desktop\RW_Exam\Excel\PR_2\"/>
    </mc:Choice>
  </mc:AlternateContent>
  <xr:revisionPtr revIDLastSave="0" documentId="13_ncr:1_{FB7F7AB2-2E98-4300-AC5C-1C4D6E6C4C1C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INDEX" sheetId="1" r:id="rId1"/>
    <sheet name="Raw Data" sheetId="2" r:id="rId2"/>
    <sheet name="Top10_Customers" sheetId="3" r:id="rId3"/>
    <sheet name="WhatIf_Analysis" sheetId="4" r:id="rId4"/>
    <sheet name="Linear_Regression" sheetId="5" r:id="rId5"/>
    <sheet name="Descriptive_Stats" sheetId="6" r:id="rId6"/>
    <sheet name="Monthly_Arrows" sheetId="7" r:id="rId7"/>
    <sheet name="HighValue_Customers" sheetId="8" r:id="rId8"/>
    <sheet name="Pivot_Analysis" sheetId="9" r:id="rId9"/>
    <sheet name="Charts" sheetId="10" r:id="rId10"/>
    <sheet name="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8" l="1"/>
  <c r="B38" i="8"/>
  <c r="B37" i="8"/>
  <c r="B36" i="8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<sst xmlns="http://schemas.openxmlformats.org/spreadsheetml/2006/main" count="1315" uniqueCount="286">
  <si>
    <t>WORKBOOK INDEX — PR2 Data Analytics Assignment</t>
  </si>
  <si>
    <t>Sheet</t>
  </si>
  <si>
    <t>Task #</t>
  </si>
  <si>
    <t>Topic</t>
  </si>
  <si>
    <t>Description</t>
  </si>
  <si>
    <t>Raw Data</t>
  </si>
  <si>
    <t>—</t>
  </si>
  <si>
    <t>Source Data</t>
  </si>
  <si>
    <t>All 200 records with timestamp (NOW()) column</t>
  </si>
  <si>
    <t>Top10_Customers</t>
  </si>
  <si>
    <t>1</t>
  </si>
  <si>
    <t>Conditional Formatting</t>
  </si>
  <si>
    <t>Top 10 customers highlighted; color scale on sales</t>
  </si>
  <si>
    <t>WhatIf_Analysis</t>
  </si>
  <si>
    <t>2</t>
  </si>
  <si>
    <t>WHAT-IF Analysis</t>
  </si>
  <si>
    <t>8 discount scenarios with profit impact arrows</t>
  </si>
  <si>
    <t>Linear_Regression</t>
  </si>
  <si>
    <t>3</t>
  </si>
  <si>
    <t>Linear Regression</t>
  </si>
  <si>
    <t>ToolPak-style output: ANOVA, coefficients, predictions</t>
  </si>
  <si>
    <t>Descriptive_Stats</t>
  </si>
  <si>
    <t>4</t>
  </si>
  <si>
    <t>Descriptive Statistics</t>
  </si>
  <si>
    <t>Full stats for Sales, Profit, Quantity, Discount</t>
  </si>
  <si>
    <t>Monthly_Arrows</t>
  </si>
  <si>
    <t>5</t>
  </si>
  <si>
    <t>Symbols / Arrows</t>
  </si>
  <si>
    <t>MoM growth with ▲ ↑ → ↓ ▼ arrow indicators</t>
  </si>
  <si>
    <t>6</t>
  </si>
  <si>
    <t>Timestamp</t>
  </si>
  <si>
    <t>Column J uses =NOW() for auto-generated timestamps</t>
  </si>
  <si>
    <t>HighValue_Customers</t>
  </si>
  <si>
    <t>7</t>
  </si>
  <si>
    <t>INDEX-MATCH / Groupby</t>
  </si>
  <si>
    <t>Customer segmentation + live INDEX-MATCH lookup</t>
  </si>
  <si>
    <t>Pivot_Analysis</t>
  </si>
  <si>
    <t>8</t>
  </si>
  <si>
    <t>Pivot Table</t>
  </si>
  <si>
    <t>Sales &amp; Profit pivot: Region × Product Category</t>
  </si>
  <si>
    <t>Charts</t>
  </si>
  <si>
    <t>9</t>
  </si>
  <si>
    <t>Bar / Line / Pie Charts</t>
  </si>
  <si>
    <t>All 3 chart types with labeled data</t>
  </si>
  <si>
    <t>Dashboard</t>
  </si>
  <si>
    <t>10</t>
  </si>
  <si>
    <t>KPI tiles + 3 embedded charts + insights story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</si>
  <si>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</si>
  <si>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</si>
  <si>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</si>
  <si>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</si>
  <si>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</si>
  <si>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</si>
  <si>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</si>
  <si>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</si>
  <si>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</si>
  <si>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</si>
  <si>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</si>
  <si>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</si>
  <si>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</si>
  <si>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</si>
  <si>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</si>
  <si>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</si>
  <si>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</si>
  <si>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</si>
  <si>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</si>
  <si>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</si>
  <si>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</si>
  <si>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</si>
  <si>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</si>
  <si>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</si>
  <si>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</si>
  <si>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</si>
  <si>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</si>
  <si>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</si>
  <si>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</si>
  <si>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</si>
  <si>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</si>
  <si>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</si>
  <si>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</si>
  <si>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</si>
  <si>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</si>
  <si>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</si>
  <si>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</si>
  <si>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</si>
  <si>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</si>
  <si>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</si>
  <si>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</si>
  <si>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</si>
  <si>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</si>
  <si>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</si>
  <si>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</si>
  <si>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</si>
  <si>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</si>
  <si>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</si>
  <si>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</si>
  <si>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</si>
  <si>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</si>
  <si>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</si>
  <si>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</si>
  <si>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</si>
  <si>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</si>
  <si>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</si>
  <si>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</si>
  <si>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</si>
  <si>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</si>
  <si>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</si>
  <si>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</si>
  <si>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</si>
  <si>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</si>
  <si>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</si>
  <si>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</si>
  <si>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</si>
  <si>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</si>
  <si>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</si>
  <si>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</si>
  <si>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</si>
  <si>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</si>
  <si>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</si>
  <si>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</si>
  <si>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</si>
  <si>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</si>
  <si>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</si>
  <si>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TASK 1 — Conditional Formatting: Top 10 Customers by Total Purchase</t>
  </si>
  <si>
    <t>Rank</t>
  </si>
  <si>
    <t>Total Sales</t>
  </si>
  <si>
    <t>Total Profit</t>
  </si>
  <si>
    <t>Profit Margin %</t>
  </si>
  <si>
    <t>📌 Conditional Formatting Applied: Top 3 = Orange background | Ranks 4-7 = Green | Ranks 8-10 = Blue. Color scale on Total Sales column.</t>
  </si>
  <si>
    <t>TASK 2 — WHAT-IF Analysis: Impact of Discount Change on Total Profit</t>
  </si>
  <si>
    <t>INPUT PARAMETERS</t>
  </si>
  <si>
    <t>Base Total Profit ($):</t>
  </si>
  <si>
    <t>Base Total Sales ($):</t>
  </si>
  <si>
    <t>Avg Discount Rate:</t>
  </si>
  <si>
    <t>Discount Scenario</t>
  </si>
  <si>
    <t>Discount %</t>
  </si>
  <si>
    <t>Est. Profit Multiplier</t>
  </si>
  <si>
    <t>Projected Total Profit</t>
  </si>
  <si>
    <t>Change vs Base ($)</t>
  </si>
  <si>
    <t>Change vs Base (%)</t>
  </si>
  <si>
    <t>Impact Arrow</t>
  </si>
  <si>
    <t>No Discount (0%)</t>
  </si>
  <si>
    <t>⬆ PROFIT GAIN</t>
  </si>
  <si>
    <t>Very Low (5%)</t>
  </si>
  <si>
    <t>Low (10%) ◀ BASE</t>
  </si>
  <si>
    <t>⬇ PROFIT LOSS</t>
  </si>
  <si>
    <t>Base Avg ◀ BASE</t>
  </si>
  <si>
    <t>Moderate (20%)</t>
  </si>
  <si>
    <t>High (25%)</t>
  </si>
  <si>
    <t>Very High (30%)</t>
  </si>
  <si>
    <t>Extreme (40%)</t>
  </si>
  <si>
    <t>📌 Formula Logic: Projected Profit = Base Profit × [(1 - New Discount%) ÷ (1 - Avg Discount%)]. Arrows show directional impact.</t>
  </si>
  <si>
    <t>TASK 3 — Linear Regression: Profit vs Sales (Data Analysis ToolPak Style)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</si>
  <si>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</si>
  <si>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</si>
  <si>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</si>
  <si>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</si>
  <si>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</si>
  <si>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</si>
  <si>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</si>
  <si>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</si>
  <si>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</si>
  <si>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</si>
  <si>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</si>
  <si>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Regression</t>
  </si>
  <si>
    <t>Residual</t>
  </si>
  <si>
    <t>Total</t>
  </si>
  <si>
    <t>COEFFICIENTS</t>
  </si>
  <si>
    <t>Coefficients</t>
  </si>
  <si>
    <t>Std Error</t>
  </si>
  <si>
    <t>t Stat</t>
  </si>
  <si>
    <t>Interpretation</t>
  </si>
  <si>
    <t>Intercept</t>
  </si>
  <si>
    <t>Base profit when Sales = 0</t>
  </si>
  <si>
    <t>Sales (X Variable)</t>
  </si>
  <si>
    <t>For every $1 in Sales, Profit increases by $0.3509</t>
  </si>
  <si>
    <t>📐 Regression Equation:  Profit = -1.0316 + 0.3509 × Sales    |    R² = 0.5982  (59.8% of variance explained)</t>
  </si>
  <si>
    <t>PREDICTION TABLE</t>
  </si>
  <si>
    <t>Sales ($)</t>
  </si>
  <si>
    <t>Predicted Profit</t>
  </si>
  <si>
    <t>Lower Bound</t>
  </si>
  <si>
    <t>Upper Bound</t>
  </si>
  <si>
    <t>Confidence</t>
  </si>
  <si>
    <t>95% CI</t>
  </si>
  <si>
    <t>TASK 4 — Descriptive Statistics (Data Analysis ToolPak Style)</t>
  </si>
  <si>
    <t>Statistic</t>
  </si>
  <si>
    <t>Value</t>
  </si>
  <si>
    <t>Count</t>
  </si>
  <si>
    <t>Mean</t>
  </si>
  <si>
    <t>Std Dev</t>
  </si>
  <si>
    <t>Variance</t>
  </si>
  <si>
    <t>Min</t>
  </si>
  <si>
    <t>Max</t>
  </si>
  <si>
    <t>Range</t>
  </si>
  <si>
    <t>Median</t>
  </si>
  <si>
    <t>Q1</t>
  </si>
  <si>
    <t>Q3</t>
  </si>
  <si>
    <t>IQR</t>
  </si>
  <si>
    <t>Skewness</t>
  </si>
  <si>
    <t>Kurtosis</t>
  </si>
  <si>
    <t>Sum</t>
  </si>
  <si>
    <t>CV%</t>
  </si>
  <si>
    <t>📊 KEY INSIGHTS FROM DESCRIPTIVE STATISTICS:</t>
  </si>
  <si>
    <t>• Average Sales: $976.09 | Average Profit: $341.44 (Profit Margin: 35.0%)</t>
  </si>
  <si>
    <t>• Sales range from $258.51 to $1,923.66 (Range: $1,665.15)</t>
  </si>
  <si>
    <t>• Sales Skewness: 0.147 — slightly right-skewed distribution</t>
  </si>
  <si>
    <t>• Discount CV: 74.4% — indicates high variability in discount rates across orders</t>
  </si>
  <si>
    <t>TASK 5 — Monthly Sales Growth with Up/Down Arrows (Custom Formatting)</t>
  </si>
  <si>
    <t>Month</t>
  </si>
  <si>
    <t>MoM Change ($)</t>
  </si>
  <si>
    <t>MoM Growth %</t>
  </si>
  <si>
    <t>Trend Arrow</t>
  </si>
  <si>
    <t>Apr-2024</t>
  </si>
  <si>
    <t>May-2024</t>
  </si>
  <si>
    <t>↓ Slight Decline</t>
  </si>
  <si>
    <t>Watch</t>
  </si>
  <si>
    <t>Jun-2024</t>
  </si>
  <si>
    <t>▲ Strong Growth</t>
  </si>
  <si>
    <t>Excellent</t>
  </si>
  <si>
    <t>Jul-2024</t>
  </si>
  <si>
    <t>▼ Sharp Decline</t>
  </si>
  <si>
    <t>Concern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</si>
  <si>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</si>
  <si>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</si>
  <si>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</si>
  <si>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</si>
  <si>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</si>
  <si>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</si>
  <si>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</si>
  <si>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</si>
  <si>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</si>
  <si>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📌 Custom Formatting: ▲ = Strong Growth (&gt;5%) | ↑ = Moderate Growth | → = Stable | ↓ = Slight Decline | ▼ = Sharp Decline (&lt;-5%)</t>
  </si>
  <si>
    <t>TASK 7 — High-Value Customers (SUMIF / INDEX-MATCH Logic)</t>
  </si>
  <si>
    <t>Orders</t>
  </si>
  <si>
    <t>Avg Order ($)</t>
  </si>
  <si>
    <t>Top Category</t>
  </si>
  <si>
    <t>Segment</t>
  </si>
  <si>
    <t>🏆 Platinum</t>
  </si>
  <si>
    <t>🥇 Gold</t>
  </si>
  <si>
    <t>🥈 Silver</t>
  </si>
  <si>
    <t>🥉 Bronze</t>
  </si>
  <si>
    <t>INDEX-MATCH Lookup — Find Customer by ID</t>
  </si>
  <si>
    <t>Enter Customer ID →</t>
  </si>
  <si>
    <t>← Editable cell (change to look up any customer)</t>
  </si>
  <si>
    <t>Customer Name</t>
  </si>
  <si>
    <t>← Formula: INDEX-MATCH lookup</t>
  </si>
  <si>
    <t>Total Sales ($)</t>
  </si>
  <si>
    <t>Total Profit ($)</t>
  </si>
  <si>
    <t>TASK 8 — Pivot Table: Total Sales by Region × Product Category</t>
  </si>
  <si>
    <t>Region \ Category</t>
  </si>
  <si>
    <t>Grand Total</t>
  </si>
  <si>
    <t>Pivot Table: Total Profit by Region × Product Category</t>
  </si>
  <si>
    <t>TASK 9 — Charts: Bar, Line &amp; Pie</t>
  </si>
  <si>
    <t>Monthly Sales</t>
  </si>
  <si>
    <t>Category</t>
  </si>
  <si>
    <t>📊  SALES PERFORMANCE DASHBOARD  |  Apr 2024 – Apr 2025</t>
  </si>
  <si>
    <t>💰 TOTAL SALES</t>
  </si>
  <si>
    <t>📈 TOTAL PROFIT</t>
  </si>
  <si>
    <t>🛒 TOTAL ORDERS</t>
  </si>
  <si>
    <t>⭐ AVG ORDER VALUE</t>
  </si>
  <si>
    <t>$195,218</t>
  </si>
  <si>
    <t>$68,287</t>
  </si>
  <si>
    <t>200</t>
  </si>
  <si>
    <t>$976</t>
  </si>
  <si>
    <t>200 Orders</t>
  </si>
  <si>
    <t>Margin: 35.0%</t>
  </si>
  <si>
    <t>Avg: $976/order</t>
  </si>
  <si>
    <t>Best Region: West</t>
  </si>
  <si>
    <t>🏆 TOP CUSTOMER</t>
  </si>
  <si>
    <t>📦 TOP CATEGORY</t>
  </si>
  <si>
    <t>🌍 TOP REGION</t>
  </si>
  <si>
    <t>📉 AVG DISCOUNT</t>
  </si>
  <si>
    <t>9.7%</t>
  </si>
  <si>
    <t>$11,611</t>
  </si>
  <si>
    <t>$47,002</t>
  </si>
  <si>
    <t>$44,084</t>
  </si>
  <si>
    <t>Min: 0% | Max: 20%</t>
  </si>
  <si>
    <t>📋 KEY INSIGHTS &amp; STORY</t>
  </si>
  <si>
    <t>✅ Total revenue of $195,218 with 200 transactions</t>
  </si>
  <si>
    <t>✅ West region leads in total sales performance</t>
  </si>
  <si>
    <t>✅ Books is the best-selling product category</t>
  </si>
  <si>
    <t>✅ Profit margin of 35.0% — healthy business performance</t>
  </si>
  <si>
    <t>✅ CUST015 is the highest-value customer by total spend</t>
  </si>
  <si>
    <t>✅ Average discount of 9.7% — impacts profitability</t>
  </si>
  <si>
    <t>✅ R² = 0.598 — Sales strongly predicts Profit (regression)</t>
  </si>
  <si>
    <t>✅ For every $1 increase in Sales, Profit rises by $0.351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</si>
</sst>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dd\-mm\-yyyy"/>
    <numFmt numFmtId="166" formatCode="dd\-mm\-yyyy\ hh:mm"/>
    <numFmt numFmtId="167" formatCode="0.0%"/>
    <numFmt numFmtId="168" formatCode="0.00\x"/>
    <numFmt numFmtId="169" formatCode="0.0000"/>
    <numFmt numFmtId="170" formatCode="\$#,##0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595959"/>
      <name val="Arial"/>
      <family val="2"/>
    </font>
    <font>
      <b/>
      <sz val="13"/>
      <color rgb="FFFFFFFF"/>
      <name val="Arial"/>
      <family val="2"/>
    </font>
    <font>
      <b/>
      <sz val="10"/>
      <color rgb="FFC55A11"/>
      <name val="Arial"/>
      <family val="2"/>
    </font>
    <font>
      <b/>
      <sz val="10"/>
      <color rgb="FF404040"/>
      <name val="Arial"/>
      <family val="2"/>
    </font>
    <font>
      <b/>
      <sz val="10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375623"/>
      <name val="Arial"/>
      <family val="2"/>
    </font>
    <font>
      <b/>
      <sz val="10"/>
      <color rgb="FF375623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404040"/>
      <name val="Arial"/>
      <family val="2"/>
    </font>
    <font>
      <i/>
      <sz val="9"/>
      <color rgb="FF404040"/>
      <name val="Arial"/>
      <family val="2"/>
    </font>
    <font>
      <b/>
      <sz val="10"/>
      <color rgb="FFFF9900"/>
      <name val="Arial"/>
      <family val="2"/>
    </font>
    <font>
      <b/>
      <sz val="16"/>
      <color rgb="FFFFFFFF"/>
      <name val="Arial"/>
      <family val="2"/>
    </font>
    <font>
      <sz val="9"/>
      <color rgb="FFFFFFFF"/>
      <name val="Arial"/>
      <family val="2"/>
    </font>
    <font>
      <b/>
      <sz val="15"/>
      <color rgb="FFFFFFFF"/>
      <name val="Arial"/>
      <family val="2"/>
    </font>
    <font>
      <i/>
      <sz val="8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78787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404040"/>
        <bgColor rgb="FF375623"/>
      </patternFill>
    </fill>
    <fill>
      <patternFill patternType="solid">
        <fgColor rgb="FF375623"/>
        <bgColor rgb="FF404040"/>
      </patternFill>
    </fill>
    <fill>
      <patternFill patternType="solid">
        <fgColor rgb="FF1A3A1A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6" fillId="0" borderId="0" xfId="0" applyFont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9" fontId="3" fillId="6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right" vertical="center"/>
    </xf>
    <xf numFmtId="167" fontId="3" fillId="7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167" fontId="3" fillId="8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167" fontId="9" fillId="4" borderId="1" xfId="0" applyNumberFormat="1" applyFont="1" applyFill="1" applyBorder="1" applyAlignment="1">
      <alignment horizontal="right" vertical="center"/>
    </xf>
    <xf numFmtId="9" fontId="3" fillId="8" borderId="1" xfId="0" applyNumberFormat="1" applyFont="1" applyFill="1" applyBorder="1" applyAlignment="1">
      <alignment horizontal="center" vertical="center"/>
    </xf>
    <xf numFmtId="168" fontId="3" fillId="8" borderId="1" xfId="0" applyNumberFormat="1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right"/>
    </xf>
    <xf numFmtId="167" fontId="12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9" fontId="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right" vertical="center"/>
    </xf>
    <xf numFmtId="164" fontId="14" fillId="9" borderId="1" xfId="0" applyNumberFormat="1" applyFont="1" applyFill="1" applyBorder="1" applyAlignment="1">
      <alignment horizontal="right"/>
    </xf>
    <xf numFmtId="167" fontId="14" fillId="9" borderId="1" xfId="0" applyNumberFormat="1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9" fontId="3" fillId="7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right"/>
    </xf>
    <xf numFmtId="167" fontId="14" fillId="7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169" fontId="3" fillId="8" borderId="1" xfId="0" applyNumberFormat="1" applyFont="1" applyFill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/>
    </xf>
    <xf numFmtId="1" fontId="18" fillId="4" borderId="1" xfId="0" applyNumberFormat="1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left" vertical="center"/>
    </xf>
    <xf numFmtId="4" fontId="18" fillId="3" borderId="1" xfId="0" applyNumberFormat="1" applyFont="1" applyFill="1" applyBorder="1" applyAlignment="1">
      <alignment horizontal="right" vertical="center"/>
    </xf>
    <xf numFmtId="4" fontId="18" fillId="4" borderId="1" xfId="0" applyNumberFormat="1" applyFont="1" applyFill="1" applyBorder="1" applyAlignment="1">
      <alignment horizontal="right" vertical="center"/>
    </xf>
    <xf numFmtId="169" fontId="18" fillId="3" borderId="1" xfId="0" applyNumberFormat="1" applyFont="1" applyFill="1" applyBorder="1" applyAlignment="1">
      <alignment horizontal="right" vertical="center"/>
    </xf>
    <xf numFmtId="169" fontId="18" fillId="4" borderId="1" xfId="0" applyNumberFormat="1" applyFont="1" applyFill="1" applyBorder="1" applyAlignment="1">
      <alignment horizontal="right" vertical="center"/>
    </xf>
    <xf numFmtId="2" fontId="18" fillId="4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/>
    </xf>
    <xf numFmtId="167" fontId="15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right"/>
    </xf>
    <xf numFmtId="167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164" fontId="10" fillId="8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center" wrapText="1"/>
    </xf>
    <xf numFmtId="170" fontId="3" fillId="3" borderId="1" xfId="0" applyNumberFormat="1" applyFont="1" applyFill="1" applyBorder="1" applyAlignment="1">
      <alignment horizontal="right" vertical="center"/>
    </xf>
    <xf numFmtId="170" fontId="3" fillId="6" borderId="1" xfId="0" applyNumberFormat="1" applyFont="1" applyFill="1" applyBorder="1" applyAlignment="1">
      <alignment horizontal="right" vertical="center"/>
    </xf>
    <xf numFmtId="0" fontId="9" fillId="13" borderId="1" xfId="0" applyFont="1" applyFill="1" applyBorder="1" applyAlignment="1">
      <alignment horizontal="left" vertical="center"/>
    </xf>
    <xf numFmtId="170" fontId="2" fillId="13" borderId="1" xfId="0" applyNumberFormat="1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70" fontId="3" fillId="8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left" vertical="center"/>
    </xf>
    <xf numFmtId="170" fontId="2" fillId="1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9" fillId="0" borderId="0" xfId="0" applyFont="1"/>
    <xf numFmtId="0" fontId="6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C55A11"/>
      <rgbColor rgb="FF595959"/>
      <rgbColor rgb="FF70AD47"/>
      <rgbColor rgb="FF1F3864"/>
      <rgbColor rgb="FF4F81BD"/>
      <rgbColor rgb="FF375623"/>
      <rgbColor rgb="FF1A3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Charts!$B$4:$B$8</c:f>
              <c:numCache>
                <c:formatCode>\$#,##0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6-46F6-8B5A-A81E77E0DAAF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Charts!$C$4:$C$8</c:f>
              <c:numCache>
                <c:formatCode>\$#,##0</c:formatCode>
                <c:ptCount val="5"/>
                <c:pt idx="0">
                  <c:v>16068.4</c:v>
                </c:pt>
                <c:pt idx="1">
                  <c:v>11638.59</c:v>
                </c:pt>
                <c:pt idx="2">
                  <c:v>11902.28</c:v>
                </c:pt>
                <c:pt idx="3">
                  <c:v>13691.91</c:v>
                </c:pt>
                <c:pt idx="4">
                  <c:v>14985.83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6-46F6-8B5A-A81E77E0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92030"/>
        <c:axId val="72477633"/>
      </c:barChart>
      <c:catAx>
        <c:axId val="433920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77633"/>
        <c:crosses val="autoZero"/>
        <c:auto val="1"/>
        <c:lblAlgn val="ctr"/>
        <c:lblOffset val="100"/>
        <c:noMultiLvlLbl val="0"/>
      </c:catAx>
      <c:valAx>
        <c:axId val="72477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920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Monthly Sales</c:v>
                </c:pt>
              </c:strCache>
            </c:strRef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Charts!$E$4:$E$16</c:f>
              <c:strCache>
                <c:ptCount val="13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  <c:pt idx="12">
                  <c:v>Apr-2025</c:v>
                </c:pt>
              </c:strCache>
            </c:strRef>
          </c:cat>
          <c:val>
            <c:numRef>
              <c:f>Charts!$F$4:$F$16</c:f>
              <c:numCache>
                <c:formatCode>\$#,##0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FF-47D0-82FC-A8580FFB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530436"/>
        <c:axId val="44483160"/>
      </c:lineChart>
      <c:catAx>
        <c:axId val="875304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83160"/>
        <c:crosses val="autoZero"/>
        <c:auto val="1"/>
        <c:lblAlgn val="ctr"/>
        <c:lblOffset val="100"/>
        <c:noMultiLvlLbl val="0"/>
      </c:catAx>
      <c:valAx>
        <c:axId val="44483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30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Distribution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Charts!$I$3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B24-492D-9788-5B81CE2FB0E4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B24-492D-9788-5B81CE2FB0E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B24-492D-9788-5B81CE2FB0E4}"/>
              </c:ext>
            </c:extLst>
          </c:dPt>
          <c:dPt>
            <c:idx val="3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B24-492D-9788-5B81CE2FB0E4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B24-492D-9788-5B81CE2FB0E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24-492D-9788-5B81CE2FB0E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24-492D-9788-5B81CE2FB0E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24-492D-9788-5B81CE2FB0E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24-492D-9788-5B81CE2FB0E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24-492D-9788-5B81CE2FB0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Charts!$H$4:$H$8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Charts!$I$4:$I$8</c:f>
              <c:numCache>
                <c:formatCode>\$#,##0</c:formatCode>
                <c:ptCount val="5"/>
                <c:pt idx="0">
                  <c:v>47002.46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24-492D-9788-5B81CE2F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Charts!$B$4:$B$8</c:f>
              <c:numCache>
                <c:formatCode>\$#,##0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6-45A2-87B1-A1F29155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95212"/>
        <c:axId val="50639478"/>
      </c:barChart>
      <c:catAx>
        <c:axId val="46695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39478"/>
        <c:crosses val="autoZero"/>
        <c:auto val="1"/>
        <c:lblAlgn val="ctr"/>
        <c:lblOffset val="100"/>
        <c:noMultiLvlLbl val="0"/>
      </c:catAx>
      <c:valAx>
        <c:axId val="50639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95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Charts!$I$3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2DD-4E4B-9F4D-C172CAAE4B21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2DD-4E4B-9F4D-C172CAAE4B2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2DD-4E4B-9F4D-C172CAAE4B21}"/>
              </c:ext>
            </c:extLst>
          </c:dPt>
          <c:dPt>
            <c:idx val="3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2DD-4E4B-9F4D-C172CAAE4B21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2DD-4E4B-9F4D-C172CAAE4B2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DD-4E4B-9F4D-C172CAAE4B2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DD-4E4B-9F4D-C172CAAE4B2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DD-4E4B-9F4D-C172CAAE4B2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DD-4E4B-9F4D-C172CAAE4B2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DD-4E4B-9F4D-C172CAAE4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Charts!$H$4:$H$8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Charts!$I$4:$I$8</c:f>
              <c:numCache>
                <c:formatCode>\$#,##0</c:formatCode>
                <c:ptCount val="5"/>
                <c:pt idx="0">
                  <c:v>47002.46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DD-4E4B-9F4D-C172CAAE4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Monthly Sales</c:v>
                </c:pt>
              </c:strCache>
            </c:strRef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Charts!$E$4:$E$16</c:f>
              <c:strCache>
                <c:ptCount val="13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  <c:pt idx="12">
                  <c:v>Apr-2025</c:v>
                </c:pt>
              </c:strCache>
            </c:strRef>
          </c:cat>
          <c:val>
            <c:numRef>
              <c:f>Charts!$F$4:$F$16</c:f>
              <c:numCache>
                <c:formatCode>\$#,##0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75-4950-8D53-12F90299B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705573"/>
        <c:axId val="52135307"/>
      </c:lineChart>
      <c:catAx>
        <c:axId val="61705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35307"/>
        <c:crosses val="autoZero"/>
        <c:auto val="1"/>
        <c:lblAlgn val="ctr"/>
        <c:lblOffset val="100"/>
        <c:noMultiLvlLbl val="0"/>
      </c:catAx>
      <c:valAx>
        <c:axId val="52135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05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39960</xdr:rowOff>
    </xdr:from>
    <xdr:to>
      <xdr:col>3</xdr:col>
      <xdr:colOff>3450600</xdr:colOff>
      <xdr:row>30</xdr:row>
      <xdr:rowOff>168480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39960</xdr:rowOff>
    </xdr:from>
    <xdr:to>
      <xdr:col>12</xdr:col>
      <xdr:colOff>259560</xdr:colOff>
      <xdr:row>30</xdr:row>
      <xdr:rowOff>168480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39960</xdr:rowOff>
    </xdr:from>
    <xdr:to>
      <xdr:col>3</xdr:col>
      <xdr:colOff>2730600</xdr:colOff>
      <xdr:row>57</xdr:row>
      <xdr:rowOff>168840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528480</xdr:colOff>
      <xdr:row>28</xdr:row>
      <xdr:rowOff>170640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12</xdr:col>
      <xdr:colOff>528840</xdr:colOff>
      <xdr:row>28</xdr:row>
      <xdr:rowOff>170640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13</xdr:col>
      <xdr:colOff>446040</xdr:colOff>
      <xdr:row>45</xdr:row>
      <xdr:rowOff>94320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Normal="100" workbookViewId="0">
      <selection sqref="A1:D1"/>
    </sheetView>
  </sheetViews>
  <sheetFormatPr defaultColWidth="8.6640625" defaultRowHeight="14.4" x14ac:dyDescent="0.3"/>
  <cols>
    <col min="1" max="1" width="20" customWidth="1"/>
    <col min="2" max="2" width="8" customWidth="1"/>
    <col min="3" max="3" width="28" customWidth="1"/>
    <col min="4" max="4" width="55" customWidth="1"/>
  </cols>
  <sheetData>
    <row r="1" spans="1:4" ht="31.5" customHeight="1" x14ac:dyDescent="0.3">
      <c r="A1" s="99" t="s">
        <v>0</v>
      </c>
      <c r="B1" s="99"/>
      <c r="C1" s="99"/>
      <c r="D1" s="99"/>
    </row>
    <row r="2" spans="1:4" x14ac:dyDescent="0.3">
      <c r="A2" s="5" t="s">
        <v>1</v>
      </c>
      <c r="B2" s="5" t="s">
        <v>2</v>
      </c>
      <c r="C2" s="5" t="s">
        <v>3</v>
      </c>
      <c r="D2" s="5" t="s">
        <v>4</v>
      </c>
    </row>
    <row r="3" spans="1:4" x14ac:dyDescent="0.3">
      <c r="A3" s="6" t="s">
        <v>5</v>
      </c>
      <c r="B3" s="6" t="s">
        <v>6</v>
      </c>
      <c r="C3" s="6" t="s">
        <v>7</v>
      </c>
      <c r="D3" s="6" t="s">
        <v>8</v>
      </c>
    </row>
    <row r="4" spans="1:4" x14ac:dyDescent="0.3">
      <c r="A4" s="7" t="s">
        <v>9</v>
      </c>
      <c r="B4" s="7" t="s">
        <v>10</v>
      </c>
      <c r="C4" s="7" t="s">
        <v>11</v>
      </c>
      <c r="D4" s="7" t="s">
        <v>12</v>
      </c>
    </row>
    <row r="5" spans="1:4" x14ac:dyDescent="0.3">
      <c r="A5" s="6" t="s">
        <v>13</v>
      </c>
      <c r="B5" s="6" t="s">
        <v>14</v>
      </c>
      <c r="C5" s="6" t="s">
        <v>15</v>
      </c>
      <c r="D5" s="6" t="s">
        <v>16</v>
      </c>
    </row>
    <row r="6" spans="1:4" x14ac:dyDescent="0.3">
      <c r="A6" s="7" t="s">
        <v>17</v>
      </c>
      <c r="B6" s="7" t="s">
        <v>18</v>
      </c>
      <c r="C6" s="7" t="s">
        <v>19</v>
      </c>
      <c r="D6" s="7" t="s">
        <v>20</v>
      </c>
    </row>
    <row r="7" spans="1:4" x14ac:dyDescent="0.3">
      <c r="A7" s="6" t="s">
        <v>21</v>
      </c>
      <c r="B7" s="6" t="s">
        <v>22</v>
      </c>
      <c r="C7" s="6" t="s">
        <v>23</v>
      </c>
      <c r="D7" s="6" t="s">
        <v>24</v>
      </c>
    </row>
    <row r="8" spans="1:4" x14ac:dyDescent="0.3">
      <c r="A8" s="7" t="s">
        <v>25</v>
      </c>
      <c r="B8" s="7" t="s">
        <v>26</v>
      </c>
      <c r="C8" s="7" t="s">
        <v>27</v>
      </c>
      <c r="D8" s="7" t="s">
        <v>28</v>
      </c>
    </row>
    <row r="9" spans="1:4" x14ac:dyDescent="0.3">
      <c r="A9" s="6" t="s">
        <v>5</v>
      </c>
      <c r="B9" s="6" t="s">
        <v>29</v>
      </c>
      <c r="C9" s="6" t="s">
        <v>30</v>
      </c>
      <c r="D9" s="6" t="s">
        <v>31</v>
      </c>
    </row>
    <row r="10" spans="1:4" x14ac:dyDescent="0.3">
      <c r="A10" s="7" t="s">
        <v>32</v>
      </c>
      <c r="B10" s="7" t="s">
        <v>33</v>
      </c>
      <c r="C10" s="7" t="s">
        <v>34</v>
      </c>
      <c r="D10" s="7" t="s">
        <v>35</v>
      </c>
    </row>
    <row r="11" spans="1:4" x14ac:dyDescent="0.3">
      <c r="A11" s="6" t="s">
        <v>36</v>
      </c>
      <c r="B11" s="6" t="s">
        <v>37</v>
      </c>
      <c r="C11" s="6" t="s">
        <v>38</v>
      </c>
      <c r="D11" s="6" t="s">
        <v>39</v>
      </c>
    </row>
    <row r="12" spans="1:4" x14ac:dyDescent="0.3">
      <c r="A12" s="7" t="s">
        <v>40</v>
      </c>
      <c r="B12" s="7" t="s">
        <v>41</v>
      </c>
      <c r="C12" s="7" t="s">
        <v>42</v>
      </c>
      <c r="D12" s="7" t="s">
        <v>43</v>
      </c>
    </row>
    <row r="13" spans="1:4" x14ac:dyDescent="0.3">
      <c r="A13" s="6" t="s">
        <v>44</v>
      </c>
      <c r="B13" s="6" t="s">
        <v>45</v>
      </c>
      <c r="C13" s="6" t="s">
        <v>44</v>
      </c>
      <c r="D13" s="6" t="s">
        <v>46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0" customWidth="1"/>
    <col min="4" max="4" width="16" customWidth="1"/>
    <col min="5" max="5" width="12" customWidth="1"/>
    <col min="6" max="6" width="9" customWidth="1"/>
    <col min="7" max="7" width="10" customWidth="1"/>
    <col min="8" max="8" width="14" customWidth="1"/>
    <col min="9" max="9" width="12" customWidth="1"/>
    <col min="10" max="10" width="20" customWidth="1"/>
  </cols>
  <sheetData>
    <row r="1" spans="1:10" ht="30" customHeight="1" x14ac:dyDescent="0.3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3" t="s">
        <v>30</v>
      </c>
    </row>
    <row r="2" spans="1:10" x14ac:dyDescent="0.3">
      <c r="A2" s="8" t="s">
        <v>56</v>
      </c>
      <c r="B2" s="9" t="s">
        <v>57</v>
      </c>
      <c r="C2" s="8" t="s">
        <v>58</v>
      </c>
      <c r="D2" s="9" t="s">
        <v>59</v>
      </c>
      <c r="E2" s="10">
        <v>1036.0899999999999</v>
      </c>
      <c r="F2" s="8">
        <v>4</v>
      </c>
      <c r="G2" s="11">
        <v>0.2</v>
      </c>
      <c r="H2" s="12">
        <v>45392</v>
      </c>
      <c r="I2" s="10">
        <v>331.55</v>
      </c>
      <c r="J2" s="13">
        <f t="shared" ref="J2:J33" ca="1" si="0">NOW()</f>
        <v>46108.667233912034</v>
      </c>
    </row>
    <row r="3" spans="1:10" x14ac:dyDescent="0.3">
      <c r="A3" s="14" t="s">
        <v>60</v>
      </c>
      <c r="B3" s="6" t="s">
        <v>61</v>
      </c>
      <c r="C3" s="14" t="s">
        <v>58</v>
      </c>
      <c r="D3" s="6" t="s">
        <v>62</v>
      </c>
      <c r="E3" s="15">
        <v>1101.28</v>
      </c>
      <c r="F3" s="14">
        <v>3</v>
      </c>
      <c r="G3" s="16">
        <v>0.2</v>
      </c>
      <c r="H3" s="12">
        <v>45393</v>
      </c>
      <c r="I3" s="15">
        <v>440.51</v>
      </c>
      <c r="J3" s="13">
        <f t="shared" ca="1" si="0"/>
        <v>46108.667233912034</v>
      </c>
    </row>
    <row r="4" spans="1:10" x14ac:dyDescent="0.3">
      <c r="A4" s="8" t="s">
        <v>63</v>
      </c>
      <c r="B4" s="9" t="s">
        <v>64</v>
      </c>
      <c r="C4" s="8" t="s">
        <v>65</v>
      </c>
      <c r="D4" s="9" t="s">
        <v>59</v>
      </c>
      <c r="E4" s="10">
        <v>713.34</v>
      </c>
      <c r="F4" s="8">
        <v>17</v>
      </c>
      <c r="G4" s="11">
        <v>0</v>
      </c>
      <c r="H4" s="12">
        <v>45396</v>
      </c>
      <c r="I4" s="10">
        <v>285.33999999999997</v>
      </c>
      <c r="J4" s="13">
        <f t="shared" ca="1" si="0"/>
        <v>46108.667233912034</v>
      </c>
    </row>
    <row r="5" spans="1:10" x14ac:dyDescent="0.3">
      <c r="A5" s="14" t="s">
        <v>66</v>
      </c>
      <c r="B5" s="6" t="s">
        <v>61</v>
      </c>
      <c r="C5" s="14" t="s">
        <v>67</v>
      </c>
      <c r="D5" s="6" t="s">
        <v>68</v>
      </c>
      <c r="E5" s="15">
        <v>760.93</v>
      </c>
      <c r="F5" s="14">
        <v>4</v>
      </c>
      <c r="G5" s="16">
        <v>0.15</v>
      </c>
      <c r="H5" s="12">
        <v>45396</v>
      </c>
      <c r="I5" s="15">
        <v>161.69999999999999</v>
      </c>
      <c r="J5" s="13">
        <f t="shared" ca="1" si="0"/>
        <v>46108.667233912034</v>
      </c>
    </row>
    <row r="6" spans="1:10" x14ac:dyDescent="0.3">
      <c r="A6" s="8" t="s">
        <v>69</v>
      </c>
      <c r="B6" s="9" t="s">
        <v>70</v>
      </c>
      <c r="C6" s="8" t="s">
        <v>71</v>
      </c>
      <c r="D6" s="9" t="s">
        <v>59</v>
      </c>
      <c r="E6" s="10">
        <v>847</v>
      </c>
      <c r="F6" s="8">
        <v>12</v>
      </c>
      <c r="G6" s="11">
        <v>0.2</v>
      </c>
      <c r="H6" s="12">
        <v>45397</v>
      </c>
      <c r="I6" s="10">
        <v>271.04000000000002</v>
      </c>
      <c r="J6" s="13">
        <f t="shared" ca="1" si="0"/>
        <v>46108.667233912034</v>
      </c>
    </row>
    <row r="7" spans="1:10" x14ac:dyDescent="0.3">
      <c r="A7" s="14" t="s">
        <v>72</v>
      </c>
      <c r="B7" s="6" t="s">
        <v>73</v>
      </c>
      <c r="C7" s="14" t="s">
        <v>71</v>
      </c>
      <c r="D7" s="6" t="s">
        <v>74</v>
      </c>
      <c r="E7" s="15">
        <v>965.64</v>
      </c>
      <c r="F7" s="14">
        <v>8</v>
      </c>
      <c r="G7" s="16">
        <v>0.1</v>
      </c>
      <c r="H7" s="12">
        <v>45398</v>
      </c>
      <c r="I7" s="15">
        <v>304.18</v>
      </c>
      <c r="J7" s="13">
        <f t="shared" ca="1" si="0"/>
        <v>46108.667233912034</v>
      </c>
    </row>
    <row r="8" spans="1:10" x14ac:dyDescent="0.3">
      <c r="A8" s="8" t="s">
        <v>75</v>
      </c>
      <c r="B8" s="9" t="s">
        <v>76</v>
      </c>
      <c r="C8" s="8" t="s">
        <v>58</v>
      </c>
      <c r="D8" s="9" t="s">
        <v>68</v>
      </c>
      <c r="E8" s="10">
        <v>1317.53</v>
      </c>
      <c r="F8" s="8">
        <v>12</v>
      </c>
      <c r="G8" s="11">
        <v>0.05</v>
      </c>
      <c r="H8" s="12">
        <v>45398</v>
      </c>
      <c r="I8" s="10">
        <v>312.91000000000003</v>
      </c>
      <c r="J8" s="13">
        <f t="shared" ca="1" si="0"/>
        <v>46108.667233912034</v>
      </c>
    </row>
    <row r="9" spans="1:10" x14ac:dyDescent="0.3">
      <c r="A9" s="14" t="s">
        <v>77</v>
      </c>
      <c r="B9" s="6" t="s">
        <v>78</v>
      </c>
      <c r="C9" s="14" t="s">
        <v>65</v>
      </c>
      <c r="D9" s="6" t="s">
        <v>74</v>
      </c>
      <c r="E9" s="15">
        <v>1074.47</v>
      </c>
      <c r="F9" s="14">
        <v>6</v>
      </c>
      <c r="G9" s="16">
        <v>0.2</v>
      </c>
      <c r="H9" s="12">
        <v>45401</v>
      </c>
      <c r="I9" s="15">
        <v>300.85000000000002</v>
      </c>
      <c r="J9" s="13">
        <f t="shared" ca="1" si="0"/>
        <v>46108.667233912034</v>
      </c>
    </row>
    <row r="10" spans="1:10" x14ac:dyDescent="0.3">
      <c r="A10" s="8" t="s">
        <v>79</v>
      </c>
      <c r="B10" s="9" t="s">
        <v>80</v>
      </c>
      <c r="C10" s="8" t="s">
        <v>81</v>
      </c>
      <c r="D10" s="9" t="s">
        <v>59</v>
      </c>
      <c r="E10" s="10">
        <v>501.54</v>
      </c>
      <c r="F10" s="8">
        <v>11</v>
      </c>
      <c r="G10" s="11">
        <v>0.05</v>
      </c>
      <c r="H10" s="12">
        <v>45401</v>
      </c>
      <c r="I10" s="10">
        <v>190.59</v>
      </c>
      <c r="J10" s="13">
        <f t="shared" ca="1" si="0"/>
        <v>46108.667233912034</v>
      </c>
    </row>
    <row r="11" spans="1:10" x14ac:dyDescent="0.3">
      <c r="A11" s="14" t="s">
        <v>82</v>
      </c>
      <c r="B11" s="6" t="s">
        <v>83</v>
      </c>
      <c r="C11" s="14" t="s">
        <v>81</v>
      </c>
      <c r="D11" s="6" t="s">
        <v>62</v>
      </c>
      <c r="E11" s="15">
        <v>737.31</v>
      </c>
      <c r="F11" s="14">
        <v>2</v>
      </c>
      <c r="G11" s="16">
        <v>0.05</v>
      </c>
      <c r="H11" s="12">
        <v>45401</v>
      </c>
      <c r="I11" s="15">
        <v>350.22</v>
      </c>
      <c r="J11" s="13">
        <f t="shared" ca="1" si="0"/>
        <v>46108.667233912034</v>
      </c>
    </row>
    <row r="12" spans="1:10" x14ac:dyDescent="0.3">
      <c r="A12" s="8" t="s">
        <v>84</v>
      </c>
      <c r="B12" s="9" t="s">
        <v>85</v>
      </c>
      <c r="C12" s="8" t="s">
        <v>58</v>
      </c>
      <c r="D12" s="9" t="s">
        <v>86</v>
      </c>
      <c r="E12" s="10">
        <v>1572.82</v>
      </c>
      <c r="F12" s="8">
        <v>6</v>
      </c>
      <c r="G12" s="11">
        <v>0.05</v>
      </c>
      <c r="H12" s="12">
        <v>45402</v>
      </c>
      <c r="I12" s="10">
        <v>672.38</v>
      </c>
      <c r="J12" s="13">
        <f t="shared" ca="1" si="0"/>
        <v>46108.667233912034</v>
      </c>
    </row>
    <row r="13" spans="1:10" x14ac:dyDescent="0.3">
      <c r="A13" s="14" t="s">
        <v>84</v>
      </c>
      <c r="B13" s="6" t="s">
        <v>83</v>
      </c>
      <c r="C13" s="14" t="s">
        <v>81</v>
      </c>
      <c r="D13" s="6" t="s">
        <v>59</v>
      </c>
      <c r="E13" s="15">
        <v>1343.13</v>
      </c>
      <c r="F13" s="14">
        <v>14</v>
      </c>
      <c r="G13" s="16">
        <v>0.15</v>
      </c>
      <c r="H13" s="12">
        <v>45404</v>
      </c>
      <c r="I13" s="15">
        <v>456.66</v>
      </c>
      <c r="J13" s="13">
        <f t="shared" ca="1" si="0"/>
        <v>46108.667233912034</v>
      </c>
    </row>
    <row r="14" spans="1:10" x14ac:dyDescent="0.3">
      <c r="A14" s="8" t="s">
        <v>72</v>
      </c>
      <c r="B14" s="9" t="s">
        <v>73</v>
      </c>
      <c r="C14" s="8" t="s">
        <v>81</v>
      </c>
      <c r="D14" s="9" t="s">
        <v>59</v>
      </c>
      <c r="E14" s="10">
        <v>1191.58</v>
      </c>
      <c r="F14" s="8">
        <v>14</v>
      </c>
      <c r="G14" s="11">
        <v>0.05</v>
      </c>
      <c r="H14" s="12">
        <v>45406</v>
      </c>
      <c r="I14" s="10">
        <v>452.8</v>
      </c>
      <c r="J14" s="13">
        <f t="shared" ca="1" si="0"/>
        <v>46108.667233912034</v>
      </c>
    </row>
    <row r="15" spans="1:10" x14ac:dyDescent="0.3">
      <c r="A15" s="14" t="s">
        <v>87</v>
      </c>
      <c r="B15" s="6" t="s">
        <v>61</v>
      </c>
      <c r="C15" s="14" t="s">
        <v>58</v>
      </c>
      <c r="D15" s="6" t="s">
        <v>74</v>
      </c>
      <c r="E15" s="15">
        <v>822.28</v>
      </c>
      <c r="F15" s="14">
        <v>7</v>
      </c>
      <c r="G15" s="16">
        <v>0.05</v>
      </c>
      <c r="H15" s="12">
        <v>45406</v>
      </c>
      <c r="I15" s="15">
        <v>273.41000000000003</v>
      </c>
      <c r="J15" s="13">
        <f t="shared" ca="1" si="0"/>
        <v>46108.667233912034</v>
      </c>
    </row>
    <row r="16" spans="1:10" x14ac:dyDescent="0.3">
      <c r="A16" s="8" t="s">
        <v>88</v>
      </c>
      <c r="B16" s="9" t="s">
        <v>89</v>
      </c>
      <c r="C16" s="8" t="s">
        <v>71</v>
      </c>
      <c r="D16" s="9" t="s">
        <v>74</v>
      </c>
      <c r="E16" s="10">
        <v>521.66999999999996</v>
      </c>
      <c r="F16" s="8">
        <v>15</v>
      </c>
      <c r="G16" s="11">
        <v>0.15</v>
      </c>
      <c r="H16" s="12">
        <v>45409</v>
      </c>
      <c r="I16" s="10">
        <v>155.19999999999999</v>
      </c>
      <c r="J16" s="13">
        <f t="shared" ca="1" si="0"/>
        <v>46108.667233912034</v>
      </c>
    </row>
    <row r="17" spans="1:10" x14ac:dyDescent="0.3">
      <c r="A17" s="14" t="s">
        <v>66</v>
      </c>
      <c r="B17" s="6" t="s">
        <v>90</v>
      </c>
      <c r="C17" s="14" t="s">
        <v>67</v>
      </c>
      <c r="D17" s="6" t="s">
        <v>68</v>
      </c>
      <c r="E17" s="15">
        <v>1502.93</v>
      </c>
      <c r="F17" s="14">
        <v>14</v>
      </c>
      <c r="G17" s="16">
        <v>0.2</v>
      </c>
      <c r="H17" s="12">
        <v>45410</v>
      </c>
      <c r="I17" s="15">
        <v>300.58999999999997</v>
      </c>
      <c r="J17" s="13">
        <f t="shared" ca="1" si="0"/>
        <v>46108.667233912034</v>
      </c>
    </row>
    <row r="18" spans="1:10" x14ac:dyDescent="0.3">
      <c r="A18" s="8" t="s">
        <v>91</v>
      </c>
      <c r="B18" s="9" t="s">
        <v>61</v>
      </c>
      <c r="C18" s="8" t="s">
        <v>67</v>
      </c>
      <c r="D18" s="9" t="s">
        <v>59</v>
      </c>
      <c r="E18" s="10">
        <v>877.58</v>
      </c>
      <c r="F18" s="8">
        <v>10</v>
      </c>
      <c r="G18" s="11">
        <v>0.15</v>
      </c>
      <c r="H18" s="12">
        <v>45411</v>
      </c>
      <c r="I18" s="10">
        <v>298.38</v>
      </c>
      <c r="J18" s="13">
        <f t="shared" ca="1" si="0"/>
        <v>46108.667233912034</v>
      </c>
    </row>
    <row r="19" spans="1:10" x14ac:dyDescent="0.3">
      <c r="A19" s="14" t="s">
        <v>75</v>
      </c>
      <c r="B19" s="6" t="s">
        <v>92</v>
      </c>
      <c r="C19" s="14" t="s">
        <v>58</v>
      </c>
      <c r="D19" s="6" t="s">
        <v>59</v>
      </c>
      <c r="E19" s="15">
        <v>636.70000000000005</v>
      </c>
      <c r="F19" s="14">
        <v>4</v>
      </c>
      <c r="G19" s="16">
        <v>0.2</v>
      </c>
      <c r="H19" s="12">
        <v>45411</v>
      </c>
      <c r="I19" s="15">
        <v>203.74</v>
      </c>
      <c r="J19" s="13">
        <f t="shared" ca="1" si="0"/>
        <v>46108.667233912034</v>
      </c>
    </row>
    <row r="20" spans="1:10" x14ac:dyDescent="0.3">
      <c r="A20" s="8" t="s">
        <v>93</v>
      </c>
      <c r="B20" s="9" t="s">
        <v>94</v>
      </c>
      <c r="C20" s="8" t="s">
        <v>58</v>
      </c>
      <c r="D20" s="9" t="s">
        <v>59</v>
      </c>
      <c r="E20" s="10">
        <v>1506.14</v>
      </c>
      <c r="F20" s="8">
        <v>13</v>
      </c>
      <c r="G20" s="11">
        <v>0.2</v>
      </c>
      <c r="H20" s="12">
        <v>45412</v>
      </c>
      <c r="I20" s="10">
        <v>481.96</v>
      </c>
      <c r="J20" s="13">
        <f t="shared" ca="1" si="0"/>
        <v>46108.667233912034</v>
      </c>
    </row>
    <row r="21" spans="1:10" x14ac:dyDescent="0.3">
      <c r="A21" s="14" t="s">
        <v>77</v>
      </c>
      <c r="B21" s="6" t="s">
        <v>78</v>
      </c>
      <c r="C21" s="14" t="s">
        <v>81</v>
      </c>
      <c r="D21" s="6" t="s">
        <v>68</v>
      </c>
      <c r="E21" s="15">
        <v>645.02</v>
      </c>
      <c r="F21" s="14">
        <v>4</v>
      </c>
      <c r="G21" s="16">
        <v>0</v>
      </c>
      <c r="H21" s="12">
        <v>45414</v>
      </c>
      <c r="I21" s="15">
        <v>161.26</v>
      </c>
      <c r="J21" s="13">
        <f t="shared" ca="1" si="0"/>
        <v>46108.667233912034</v>
      </c>
    </row>
    <row r="22" spans="1:10" x14ac:dyDescent="0.3">
      <c r="A22" s="8" t="s">
        <v>72</v>
      </c>
      <c r="B22" s="9" t="s">
        <v>95</v>
      </c>
      <c r="C22" s="8" t="s">
        <v>67</v>
      </c>
      <c r="D22" s="9" t="s">
        <v>62</v>
      </c>
      <c r="E22" s="10">
        <v>953.3</v>
      </c>
      <c r="F22" s="8">
        <v>11</v>
      </c>
      <c r="G22" s="11">
        <v>0</v>
      </c>
      <c r="H22" s="12">
        <v>45415</v>
      </c>
      <c r="I22" s="10">
        <v>476.65</v>
      </c>
      <c r="J22" s="13">
        <f t="shared" ca="1" si="0"/>
        <v>46108.667233912034</v>
      </c>
    </row>
    <row r="23" spans="1:10" x14ac:dyDescent="0.3">
      <c r="A23" s="14" t="s">
        <v>96</v>
      </c>
      <c r="B23" s="6" t="s">
        <v>61</v>
      </c>
      <c r="C23" s="14" t="s">
        <v>71</v>
      </c>
      <c r="D23" s="6" t="s">
        <v>68</v>
      </c>
      <c r="E23" s="15">
        <v>388.56</v>
      </c>
      <c r="F23" s="14">
        <v>14</v>
      </c>
      <c r="G23" s="16">
        <v>0.15</v>
      </c>
      <c r="H23" s="12">
        <v>45416</v>
      </c>
      <c r="I23" s="15">
        <v>82.57</v>
      </c>
      <c r="J23" s="13">
        <f t="shared" ca="1" si="0"/>
        <v>46108.667233912034</v>
      </c>
    </row>
    <row r="24" spans="1:10" x14ac:dyDescent="0.3">
      <c r="A24" s="8" t="s">
        <v>56</v>
      </c>
      <c r="B24" s="9" t="s">
        <v>78</v>
      </c>
      <c r="C24" s="8" t="s">
        <v>58</v>
      </c>
      <c r="D24" s="9" t="s">
        <v>59</v>
      </c>
      <c r="E24" s="10">
        <v>743.17</v>
      </c>
      <c r="F24" s="8">
        <v>9</v>
      </c>
      <c r="G24" s="11">
        <v>0</v>
      </c>
      <c r="H24" s="12">
        <v>45416</v>
      </c>
      <c r="I24" s="10">
        <v>297.27</v>
      </c>
      <c r="J24" s="13">
        <f t="shared" ca="1" si="0"/>
        <v>46108.667233912034</v>
      </c>
    </row>
    <row r="25" spans="1:10" x14ac:dyDescent="0.3">
      <c r="A25" s="14" t="s">
        <v>87</v>
      </c>
      <c r="B25" s="6" t="s">
        <v>78</v>
      </c>
      <c r="C25" s="14" t="s">
        <v>81</v>
      </c>
      <c r="D25" s="6" t="s">
        <v>68</v>
      </c>
      <c r="E25" s="15">
        <v>706.37</v>
      </c>
      <c r="F25" s="14">
        <v>6</v>
      </c>
      <c r="G25" s="16">
        <v>0</v>
      </c>
      <c r="H25" s="12">
        <v>45416</v>
      </c>
      <c r="I25" s="15">
        <v>176.59</v>
      </c>
      <c r="J25" s="13">
        <f t="shared" ca="1" si="0"/>
        <v>46108.667233912034</v>
      </c>
    </row>
    <row r="26" spans="1:10" x14ac:dyDescent="0.3">
      <c r="A26" s="8" t="s">
        <v>60</v>
      </c>
      <c r="B26" s="9" t="s">
        <v>78</v>
      </c>
      <c r="C26" s="8" t="s">
        <v>81</v>
      </c>
      <c r="D26" s="9" t="s">
        <v>86</v>
      </c>
      <c r="E26" s="10">
        <v>925.31</v>
      </c>
      <c r="F26" s="8">
        <v>8</v>
      </c>
      <c r="G26" s="11">
        <v>0.1</v>
      </c>
      <c r="H26" s="12">
        <v>45418</v>
      </c>
      <c r="I26" s="10">
        <v>374.75</v>
      </c>
      <c r="J26" s="13">
        <f t="shared" ca="1" si="0"/>
        <v>46108.667233912034</v>
      </c>
    </row>
    <row r="27" spans="1:10" x14ac:dyDescent="0.3">
      <c r="A27" s="14" t="s">
        <v>82</v>
      </c>
      <c r="B27" s="6" t="s">
        <v>97</v>
      </c>
      <c r="C27" s="14" t="s">
        <v>67</v>
      </c>
      <c r="D27" s="6" t="s">
        <v>68</v>
      </c>
      <c r="E27" s="15">
        <v>1173.1199999999999</v>
      </c>
      <c r="F27" s="14">
        <v>18</v>
      </c>
      <c r="G27" s="16">
        <v>0</v>
      </c>
      <c r="H27" s="12">
        <v>45418</v>
      </c>
      <c r="I27" s="15">
        <v>293.27999999999997</v>
      </c>
      <c r="J27" s="13">
        <f t="shared" ca="1" si="0"/>
        <v>46108.667233912034</v>
      </c>
    </row>
    <row r="28" spans="1:10" x14ac:dyDescent="0.3">
      <c r="A28" s="8" t="s">
        <v>69</v>
      </c>
      <c r="B28" s="9" t="s">
        <v>98</v>
      </c>
      <c r="C28" s="8" t="s">
        <v>71</v>
      </c>
      <c r="D28" s="9" t="s">
        <v>74</v>
      </c>
      <c r="E28" s="10">
        <v>675.54</v>
      </c>
      <c r="F28" s="8">
        <v>17</v>
      </c>
      <c r="G28" s="11">
        <v>0</v>
      </c>
      <c r="H28" s="12">
        <v>45420</v>
      </c>
      <c r="I28" s="10">
        <v>236.44</v>
      </c>
      <c r="J28" s="13">
        <f t="shared" ca="1" si="0"/>
        <v>46108.667233912034</v>
      </c>
    </row>
    <row r="29" spans="1:10" x14ac:dyDescent="0.3">
      <c r="A29" s="14" t="s">
        <v>72</v>
      </c>
      <c r="B29" s="6" t="s">
        <v>61</v>
      </c>
      <c r="C29" s="14" t="s">
        <v>81</v>
      </c>
      <c r="D29" s="6" t="s">
        <v>59</v>
      </c>
      <c r="E29" s="15">
        <v>939.09</v>
      </c>
      <c r="F29" s="14">
        <v>2</v>
      </c>
      <c r="G29" s="16">
        <v>0.05</v>
      </c>
      <c r="H29" s="12">
        <v>45422</v>
      </c>
      <c r="I29" s="15">
        <v>356.85</v>
      </c>
      <c r="J29" s="13">
        <f t="shared" ca="1" si="0"/>
        <v>46108.667233912034</v>
      </c>
    </row>
    <row r="30" spans="1:10" x14ac:dyDescent="0.3">
      <c r="A30" s="8" t="s">
        <v>99</v>
      </c>
      <c r="B30" s="9" t="s">
        <v>100</v>
      </c>
      <c r="C30" s="8" t="s">
        <v>65</v>
      </c>
      <c r="D30" s="9" t="s">
        <v>86</v>
      </c>
      <c r="E30" s="10">
        <v>983.34</v>
      </c>
      <c r="F30" s="8">
        <v>19</v>
      </c>
      <c r="G30" s="11">
        <v>0.1</v>
      </c>
      <c r="H30" s="12">
        <v>45426</v>
      </c>
      <c r="I30" s="10">
        <v>398.25</v>
      </c>
      <c r="J30" s="13">
        <f t="shared" ca="1" si="0"/>
        <v>46108.667233912034</v>
      </c>
    </row>
    <row r="31" spans="1:10" x14ac:dyDescent="0.3">
      <c r="A31" s="14" t="s">
        <v>99</v>
      </c>
      <c r="B31" s="6" t="s">
        <v>70</v>
      </c>
      <c r="C31" s="14" t="s">
        <v>67</v>
      </c>
      <c r="D31" s="6" t="s">
        <v>68</v>
      </c>
      <c r="E31" s="15">
        <v>801.21</v>
      </c>
      <c r="F31" s="14">
        <v>3</v>
      </c>
      <c r="G31" s="16">
        <v>0.2</v>
      </c>
      <c r="H31" s="12">
        <v>45426</v>
      </c>
      <c r="I31" s="15">
        <v>160.24</v>
      </c>
      <c r="J31" s="13">
        <f t="shared" ca="1" si="0"/>
        <v>46108.667233912034</v>
      </c>
    </row>
    <row r="32" spans="1:10" x14ac:dyDescent="0.3">
      <c r="A32" s="8" t="s">
        <v>101</v>
      </c>
      <c r="B32" s="9" t="s">
        <v>102</v>
      </c>
      <c r="C32" s="8" t="s">
        <v>71</v>
      </c>
      <c r="D32" s="9" t="s">
        <v>68</v>
      </c>
      <c r="E32" s="10">
        <v>1450.71</v>
      </c>
      <c r="F32" s="8">
        <v>5</v>
      </c>
      <c r="G32" s="11">
        <v>0.1</v>
      </c>
      <c r="H32" s="12">
        <v>45427</v>
      </c>
      <c r="I32" s="10">
        <v>326.41000000000003</v>
      </c>
      <c r="J32" s="13">
        <f t="shared" ca="1" si="0"/>
        <v>46108.667233912034</v>
      </c>
    </row>
    <row r="33" spans="1:10" x14ac:dyDescent="0.3">
      <c r="A33" s="14" t="s">
        <v>96</v>
      </c>
      <c r="B33" s="6" t="s">
        <v>103</v>
      </c>
      <c r="C33" s="14" t="s">
        <v>81</v>
      </c>
      <c r="D33" s="6" t="s">
        <v>59</v>
      </c>
      <c r="E33" s="15">
        <v>1023.21</v>
      </c>
      <c r="F33" s="14">
        <v>18</v>
      </c>
      <c r="G33" s="16">
        <v>0.05</v>
      </c>
      <c r="H33" s="12">
        <v>45428</v>
      </c>
      <c r="I33" s="15">
        <v>388.82</v>
      </c>
      <c r="J33" s="13">
        <f t="shared" ca="1" si="0"/>
        <v>46108.667233912034</v>
      </c>
    </row>
    <row r="34" spans="1:10" x14ac:dyDescent="0.3">
      <c r="A34" s="8" t="s">
        <v>75</v>
      </c>
      <c r="B34" s="9" t="s">
        <v>94</v>
      </c>
      <c r="C34" s="8" t="s">
        <v>58</v>
      </c>
      <c r="D34" s="9" t="s">
        <v>74</v>
      </c>
      <c r="E34" s="10">
        <v>853.72</v>
      </c>
      <c r="F34" s="8">
        <v>5</v>
      </c>
      <c r="G34" s="11">
        <v>0.15</v>
      </c>
      <c r="H34" s="12">
        <v>45428</v>
      </c>
      <c r="I34" s="10">
        <v>253.98</v>
      </c>
      <c r="J34" s="13">
        <f t="shared" ref="J34:J65" ca="1" si="1">NOW()</f>
        <v>46108.667233912034</v>
      </c>
    </row>
    <row r="35" spans="1:10" x14ac:dyDescent="0.3">
      <c r="A35" s="14" t="s">
        <v>104</v>
      </c>
      <c r="B35" s="6" t="s">
        <v>90</v>
      </c>
      <c r="C35" s="14" t="s">
        <v>67</v>
      </c>
      <c r="D35" s="6" t="s">
        <v>68</v>
      </c>
      <c r="E35" s="15">
        <v>967.89</v>
      </c>
      <c r="F35" s="14">
        <v>10</v>
      </c>
      <c r="G35" s="16">
        <v>0.1</v>
      </c>
      <c r="H35" s="12">
        <v>45429</v>
      </c>
      <c r="I35" s="15">
        <v>217.78</v>
      </c>
      <c r="J35" s="13">
        <f t="shared" ca="1" si="1"/>
        <v>46108.667233912034</v>
      </c>
    </row>
    <row r="36" spans="1:10" x14ac:dyDescent="0.3">
      <c r="A36" s="8" t="s">
        <v>105</v>
      </c>
      <c r="B36" s="9" t="s">
        <v>100</v>
      </c>
      <c r="C36" s="8" t="s">
        <v>71</v>
      </c>
      <c r="D36" s="9" t="s">
        <v>86</v>
      </c>
      <c r="E36" s="10">
        <v>1200.9000000000001</v>
      </c>
      <c r="F36" s="8">
        <v>14</v>
      </c>
      <c r="G36" s="11">
        <v>0.05</v>
      </c>
      <c r="H36" s="12">
        <v>45429</v>
      </c>
      <c r="I36" s="10">
        <v>513.38</v>
      </c>
      <c r="J36" s="13">
        <f t="shared" ca="1" si="1"/>
        <v>46108.667233912034</v>
      </c>
    </row>
    <row r="37" spans="1:10" x14ac:dyDescent="0.3">
      <c r="A37" s="14" t="s">
        <v>60</v>
      </c>
      <c r="B37" s="6" t="s">
        <v>73</v>
      </c>
      <c r="C37" s="14" t="s">
        <v>58</v>
      </c>
      <c r="D37" s="6" t="s">
        <v>59</v>
      </c>
      <c r="E37" s="15">
        <v>472.38</v>
      </c>
      <c r="F37" s="14">
        <v>12</v>
      </c>
      <c r="G37" s="16">
        <v>0.2</v>
      </c>
      <c r="H37" s="12">
        <v>45429</v>
      </c>
      <c r="I37" s="15">
        <v>151.16</v>
      </c>
      <c r="J37" s="13">
        <f t="shared" ca="1" si="1"/>
        <v>46108.667233912034</v>
      </c>
    </row>
    <row r="38" spans="1:10" x14ac:dyDescent="0.3">
      <c r="A38" s="8" t="s">
        <v>56</v>
      </c>
      <c r="B38" s="9" t="s">
        <v>102</v>
      </c>
      <c r="C38" s="8" t="s">
        <v>65</v>
      </c>
      <c r="D38" s="9" t="s">
        <v>86</v>
      </c>
      <c r="E38" s="10">
        <v>840.92</v>
      </c>
      <c r="F38" s="8">
        <v>9</v>
      </c>
      <c r="G38" s="11">
        <v>0.05</v>
      </c>
      <c r="H38" s="12">
        <v>45429</v>
      </c>
      <c r="I38" s="10">
        <v>359.49</v>
      </c>
      <c r="J38" s="13">
        <f t="shared" ca="1" si="1"/>
        <v>46108.667233912034</v>
      </c>
    </row>
    <row r="39" spans="1:10" x14ac:dyDescent="0.3">
      <c r="A39" s="14" t="s">
        <v>99</v>
      </c>
      <c r="B39" s="6" t="s">
        <v>95</v>
      </c>
      <c r="C39" s="14" t="s">
        <v>81</v>
      </c>
      <c r="D39" s="6" t="s">
        <v>74</v>
      </c>
      <c r="E39" s="15">
        <v>1410.06</v>
      </c>
      <c r="F39" s="14">
        <v>11</v>
      </c>
      <c r="G39" s="16">
        <v>0.05</v>
      </c>
      <c r="H39" s="12">
        <v>45434</v>
      </c>
      <c r="I39" s="15">
        <v>468.84</v>
      </c>
      <c r="J39" s="13">
        <f t="shared" ca="1" si="1"/>
        <v>46108.667233912034</v>
      </c>
    </row>
    <row r="40" spans="1:10" x14ac:dyDescent="0.3">
      <c r="A40" s="8" t="s">
        <v>91</v>
      </c>
      <c r="B40" s="9" t="s">
        <v>106</v>
      </c>
      <c r="C40" s="8" t="s">
        <v>81</v>
      </c>
      <c r="D40" s="9" t="s">
        <v>74</v>
      </c>
      <c r="E40" s="10">
        <v>773.09</v>
      </c>
      <c r="F40" s="8">
        <v>13</v>
      </c>
      <c r="G40" s="11">
        <v>0.15</v>
      </c>
      <c r="H40" s="12">
        <v>45434</v>
      </c>
      <c r="I40" s="10">
        <v>229.99</v>
      </c>
      <c r="J40" s="13">
        <f t="shared" ca="1" si="1"/>
        <v>46108.667233912034</v>
      </c>
    </row>
    <row r="41" spans="1:10" x14ac:dyDescent="0.3">
      <c r="A41" s="14" t="s">
        <v>107</v>
      </c>
      <c r="B41" s="6" t="s">
        <v>108</v>
      </c>
      <c r="C41" s="14" t="s">
        <v>65</v>
      </c>
      <c r="D41" s="6" t="s">
        <v>59</v>
      </c>
      <c r="E41" s="15">
        <v>580.42999999999995</v>
      </c>
      <c r="F41" s="14">
        <v>19</v>
      </c>
      <c r="G41" s="16">
        <v>0.15</v>
      </c>
      <c r="H41" s="12">
        <v>45435</v>
      </c>
      <c r="I41" s="15">
        <v>197.35</v>
      </c>
      <c r="J41" s="13">
        <f t="shared" ca="1" si="1"/>
        <v>46108.667233912034</v>
      </c>
    </row>
    <row r="42" spans="1:10" x14ac:dyDescent="0.3">
      <c r="A42" s="8" t="s">
        <v>66</v>
      </c>
      <c r="B42" s="9" t="s">
        <v>89</v>
      </c>
      <c r="C42" s="8" t="s">
        <v>67</v>
      </c>
      <c r="D42" s="9" t="s">
        <v>59</v>
      </c>
      <c r="E42" s="10">
        <v>1151.21</v>
      </c>
      <c r="F42" s="8">
        <v>15</v>
      </c>
      <c r="G42" s="11">
        <v>0.1</v>
      </c>
      <c r="H42" s="12">
        <v>45445</v>
      </c>
      <c r="I42" s="10">
        <v>414.44</v>
      </c>
      <c r="J42" s="13">
        <f t="shared" ca="1" si="1"/>
        <v>46108.667233912034</v>
      </c>
    </row>
    <row r="43" spans="1:10" x14ac:dyDescent="0.3">
      <c r="A43" s="14" t="s">
        <v>99</v>
      </c>
      <c r="B43" s="6" t="s">
        <v>70</v>
      </c>
      <c r="C43" s="14" t="s">
        <v>81</v>
      </c>
      <c r="D43" s="6" t="s">
        <v>86</v>
      </c>
      <c r="E43" s="15">
        <v>1025.98</v>
      </c>
      <c r="F43" s="14">
        <v>5</v>
      </c>
      <c r="G43" s="16">
        <v>0.2</v>
      </c>
      <c r="H43" s="12">
        <v>45447</v>
      </c>
      <c r="I43" s="15">
        <v>369.35</v>
      </c>
      <c r="J43" s="13">
        <f t="shared" ca="1" si="1"/>
        <v>46108.667233912034</v>
      </c>
    </row>
    <row r="44" spans="1:10" x14ac:dyDescent="0.3">
      <c r="A44" s="8" t="s">
        <v>87</v>
      </c>
      <c r="B44" s="9" t="s">
        <v>103</v>
      </c>
      <c r="C44" s="8" t="s">
        <v>65</v>
      </c>
      <c r="D44" s="9" t="s">
        <v>86</v>
      </c>
      <c r="E44" s="10">
        <v>556.41999999999996</v>
      </c>
      <c r="F44" s="8">
        <v>11</v>
      </c>
      <c r="G44" s="11">
        <v>0.15</v>
      </c>
      <c r="H44" s="12">
        <v>45447</v>
      </c>
      <c r="I44" s="10">
        <v>212.83</v>
      </c>
      <c r="J44" s="13">
        <f t="shared" ca="1" si="1"/>
        <v>46108.667233912034</v>
      </c>
    </row>
    <row r="45" spans="1:10" x14ac:dyDescent="0.3">
      <c r="A45" s="14" t="s">
        <v>104</v>
      </c>
      <c r="B45" s="6" t="s">
        <v>70</v>
      </c>
      <c r="C45" s="14" t="s">
        <v>81</v>
      </c>
      <c r="D45" s="6" t="s">
        <v>59</v>
      </c>
      <c r="E45" s="15">
        <v>840.85</v>
      </c>
      <c r="F45" s="14">
        <v>19</v>
      </c>
      <c r="G45" s="16">
        <v>0.1</v>
      </c>
      <c r="H45" s="12">
        <v>45448</v>
      </c>
      <c r="I45" s="15">
        <v>302.70999999999998</v>
      </c>
      <c r="J45" s="13">
        <f t="shared" ca="1" si="1"/>
        <v>46108.667233912034</v>
      </c>
    </row>
    <row r="46" spans="1:10" x14ac:dyDescent="0.3">
      <c r="A46" s="8" t="s">
        <v>77</v>
      </c>
      <c r="B46" s="9" t="s">
        <v>108</v>
      </c>
      <c r="C46" s="8" t="s">
        <v>71</v>
      </c>
      <c r="D46" s="9" t="s">
        <v>74</v>
      </c>
      <c r="E46" s="10">
        <v>1227.25</v>
      </c>
      <c r="F46" s="8">
        <v>12</v>
      </c>
      <c r="G46" s="11">
        <v>0.15</v>
      </c>
      <c r="H46" s="12">
        <v>45448</v>
      </c>
      <c r="I46" s="10">
        <v>365.11</v>
      </c>
      <c r="J46" s="13">
        <f t="shared" ca="1" si="1"/>
        <v>46108.667233912034</v>
      </c>
    </row>
    <row r="47" spans="1:10" x14ac:dyDescent="0.3">
      <c r="A47" s="14" t="s">
        <v>63</v>
      </c>
      <c r="B47" s="6" t="s">
        <v>109</v>
      </c>
      <c r="C47" s="14" t="s">
        <v>81</v>
      </c>
      <c r="D47" s="6" t="s">
        <v>68</v>
      </c>
      <c r="E47" s="15">
        <v>856.7</v>
      </c>
      <c r="F47" s="14">
        <v>2</v>
      </c>
      <c r="G47" s="16">
        <v>0</v>
      </c>
      <c r="H47" s="12">
        <v>45449</v>
      </c>
      <c r="I47" s="15">
        <v>214.18</v>
      </c>
      <c r="J47" s="13">
        <f t="shared" ca="1" si="1"/>
        <v>46108.667233912034</v>
      </c>
    </row>
    <row r="48" spans="1:10" x14ac:dyDescent="0.3">
      <c r="A48" s="8" t="s">
        <v>101</v>
      </c>
      <c r="B48" s="9" t="s">
        <v>103</v>
      </c>
      <c r="C48" s="8" t="s">
        <v>81</v>
      </c>
      <c r="D48" s="9" t="s">
        <v>86</v>
      </c>
      <c r="E48" s="10">
        <v>1225.42</v>
      </c>
      <c r="F48" s="8">
        <v>8</v>
      </c>
      <c r="G48" s="11">
        <v>0.15</v>
      </c>
      <c r="H48" s="12">
        <v>45449</v>
      </c>
      <c r="I48" s="10">
        <v>468.72</v>
      </c>
      <c r="J48" s="13">
        <f t="shared" ca="1" si="1"/>
        <v>46108.667233912034</v>
      </c>
    </row>
    <row r="49" spans="1:10" x14ac:dyDescent="0.3">
      <c r="A49" s="14" t="s">
        <v>110</v>
      </c>
      <c r="B49" s="6" t="s">
        <v>78</v>
      </c>
      <c r="C49" s="14" t="s">
        <v>71</v>
      </c>
      <c r="D49" s="6" t="s">
        <v>86</v>
      </c>
      <c r="E49" s="15">
        <v>1001.57</v>
      </c>
      <c r="F49" s="14">
        <v>12</v>
      </c>
      <c r="G49" s="16">
        <v>0</v>
      </c>
      <c r="H49" s="12">
        <v>45450</v>
      </c>
      <c r="I49" s="15">
        <v>450.71</v>
      </c>
      <c r="J49" s="13">
        <f t="shared" ca="1" si="1"/>
        <v>46108.667233912034</v>
      </c>
    </row>
    <row r="50" spans="1:10" x14ac:dyDescent="0.3">
      <c r="A50" s="8" t="s">
        <v>104</v>
      </c>
      <c r="B50" s="9" t="s">
        <v>73</v>
      </c>
      <c r="C50" s="8" t="s">
        <v>65</v>
      </c>
      <c r="D50" s="9" t="s">
        <v>74</v>
      </c>
      <c r="E50" s="10">
        <v>1186.8499999999999</v>
      </c>
      <c r="F50" s="8">
        <v>19</v>
      </c>
      <c r="G50" s="11">
        <v>0.2</v>
      </c>
      <c r="H50" s="12">
        <v>45451</v>
      </c>
      <c r="I50" s="10">
        <v>332.32</v>
      </c>
      <c r="J50" s="13">
        <f t="shared" ca="1" si="1"/>
        <v>46108.667233912034</v>
      </c>
    </row>
    <row r="51" spans="1:10" x14ac:dyDescent="0.3">
      <c r="A51" s="14" t="s">
        <v>91</v>
      </c>
      <c r="B51" s="6" t="s">
        <v>98</v>
      </c>
      <c r="C51" s="14" t="s">
        <v>67</v>
      </c>
      <c r="D51" s="6" t="s">
        <v>68</v>
      </c>
      <c r="E51" s="15">
        <v>775.45</v>
      </c>
      <c r="F51" s="14">
        <v>6</v>
      </c>
      <c r="G51" s="16">
        <v>0.1</v>
      </c>
      <c r="H51" s="12">
        <v>45457</v>
      </c>
      <c r="I51" s="15">
        <v>174.48</v>
      </c>
      <c r="J51" s="13">
        <f t="shared" ca="1" si="1"/>
        <v>46108.667233912034</v>
      </c>
    </row>
    <row r="52" spans="1:10" x14ac:dyDescent="0.3">
      <c r="A52" s="8" t="s">
        <v>72</v>
      </c>
      <c r="B52" s="9" t="s">
        <v>80</v>
      </c>
      <c r="C52" s="8" t="s">
        <v>67</v>
      </c>
      <c r="D52" s="9" t="s">
        <v>68</v>
      </c>
      <c r="E52" s="10">
        <v>1021.47</v>
      </c>
      <c r="F52" s="8">
        <v>6</v>
      </c>
      <c r="G52" s="11">
        <v>0.05</v>
      </c>
      <c r="H52" s="12">
        <v>45461</v>
      </c>
      <c r="I52" s="10">
        <v>242.6</v>
      </c>
      <c r="J52" s="13">
        <f t="shared" ca="1" si="1"/>
        <v>46108.667233912034</v>
      </c>
    </row>
    <row r="53" spans="1:10" x14ac:dyDescent="0.3">
      <c r="A53" s="14" t="s">
        <v>105</v>
      </c>
      <c r="B53" s="6" t="s">
        <v>70</v>
      </c>
      <c r="C53" s="14" t="s">
        <v>67</v>
      </c>
      <c r="D53" s="6" t="s">
        <v>62</v>
      </c>
      <c r="E53" s="15">
        <v>1226.6199999999999</v>
      </c>
      <c r="F53" s="14">
        <v>7</v>
      </c>
      <c r="G53" s="16">
        <v>0.1</v>
      </c>
      <c r="H53" s="12">
        <v>45463</v>
      </c>
      <c r="I53" s="15">
        <v>551.98</v>
      </c>
      <c r="J53" s="13">
        <f t="shared" ca="1" si="1"/>
        <v>46108.667233912034</v>
      </c>
    </row>
    <row r="54" spans="1:10" x14ac:dyDescent="0.3">
      <c r="A54" s="8" t="s">
        <v>69</v>
      </c>
      <c r="B54" s="9" t="s">
        <v>111</v>
      </c>
      <c r="C54" s="8" t="s">
        <v>67</v>
      </c>
      <c r="D54" s="9" t="s">
        <v>74</v>
      </c>
      <c r="E54" s="10">
        <v>1086.93</v>
      </c>
      <c r="F54" s="8">
        <v>2</v>
      </c>
      <c r="G54" s="11">
        <v>0</v>
      </c>
      <c r="H54" s="12">
        <v>45464</v>
      </c>
      <c r="I54" s="10">
        <v>380.43</v>
      </c>
      <c r="J54" s="13">
        <f t="shared" ca="1" si="1"/>
        <v>46108.667233912034</v>
      </c>
    </row>
    <row r="55" spans="1:10" x14ac:dyDescent="0.3">
      <c r="A55" s="14" t="s">
        <v>112</v>
      </c>
      <c r="B55" s="6" t="s">
        <v>95</v>
      </c>
      <c r="C55" s="14" t="s">
        <v>58</v>
      </c>
      <c r="D55" s="6" t="s">
        <v>59</v>
      </c>
      <c r="E55" s="15">
        <v>942.9</v>
      </c>
      <c r="F55" s="14">
        <v>18</v>
      </c>
      <c r="G55" s="16">
        <v>0.1</v>
      </c>
      <c r="H55" s="12">
        <v>45466</v>
      </c>
      <c r="I55" s="15">
        <v>339.44</v>
      </c>
      <c r="J55" s="13">
        <f t="shared" ca="1" si="1"/>
        <v>46108.667233912034</v>
      </c>
    </row>
    <row r="56" spans="1:10" x14ac:dyDescent="0.3">
      <c r="A56" s="8" t="s">
        <v>79</v>
      </c>
      <c r="B56" s="9" t="s">
        <v>85</v>
      </c>
      <c r="C56" s="8" t="s">
        <v>71</v>
      </c>
      <c r="D56" s="9" t="s">
        <v>68</v>
      </c>
      <c r="E56" s="10">
        <v>818.8</v>
      </c>
      <c r="F56" s="8">
        <v>15</v>
      </c>
      <c r="G56" s="11">
        <v>0.15</v>
      </c>
      <c r="H56" s="12">
        <v>45468</v>
      </c>
      <c r="I56" s="10">
        <v>173.99</v>
      </c>
      <c r="J56" s="13">
        <f t="shared" ca="1" si="1"/>
        <v>46108.667233912034</v>
      </c>
    </row>
    <row r="57" spans="1:10" x14ac:dyDescent="0.3">
      <c r="A57" s="14" t="s">
        <v>66</v>
      </c>
      <c r="B57" s="6" t="s">
        <v>61</v>
      </c>
      <c r="C57" s="14" t="s">
        <v>67</v>
      </c>
      <c r="D57" s="6" t="s">
        <v>74</v>
      </c>
      <c r="E57" s="15">
        <v>919.04</v>
      </c>
      <c r="F57" s="14">
        <v>10</v>
      </c>
      <c r="G57" s="16">
        <v>0.2</v>
      </c>
      <c r="H57" s="12">
        <v>45468</v>
      </c>
      <c r="I57" s="15">
        <v>257.33</v>
      </c>
      <c r="J57" s="13">
        <f t="shared" ca="1" si="1"/>
        <v>46108.667233912034</v>
      </c>
    </row>
    <row r="58" spans="1:10" x14ac:dyDescent="0.3">
      <c r="A58" s="8" t="s">
        <v>69</v>
      </c>
      <c r="B58" s="9" t="s">
        <v>113</v>
      </c>
      <c r="C58" s="8" t="s">
        <v>81</v>
      </c>
      <c r="D58" s="9" t="s">
        <v>59</v>
      </c>
      <c r="E58" s="10">
        <v>973.26</v>
      </c>
      <c r="F58" s="8">
        <v>11</v>
      </c>
      <c r="G58" s="11">
        <v>0</v>
      </c>
      <c r="H58" s="12">
        <v>45470</v>
      </c>
      <c r="I58" s="10">
        <v>389.3</v>
      </c>
      <c r="J58" s="13">
        <f t="shared" ca="1" si="1"/>
        <v>46108.667233912034</v>
      </c>
    </row>
    <row r="59" spans="1:10" x14ac:dyDescent="0.3">
      <c r="A59" s="14" t="s">
        <v>88</v>
      </c>
      <c r="B59" s="6" t="s">
        <v>111</v>
      </c>
      <c r="C59" s="14" t="s">
        <v>71</v>
      </c>
      <c r="D59" s="6" t="s">
        <v>68</v>
      </c>
      <c r="E59" s="15">
        <v>741.61</v>
      </c>
      <c r="F59" s="14">
        <v>1</v>
      </c>
      <c r="G59" s="16">
        <v>0.2</v>
      </c>
      <c r="H59" s="12">
        <v>45471</v>
      </c>
      <c r="I59" s="15">
        <v>148.32</v>
      </c>
      <c r="J59" s="13">
        <f t="shared" ca="1" si="1"/>
        <v>46108.667233912034</v>
      </c>
    </row>
    <row r="60" spans="1:10" x14ac:dyDescent="0.3">
      <c r="A60" s="8" t="s">
        <v>114</v>
      </c>
      <c r="B60" s="9" t="s">
        <v>85</v>
      </c>
      <c r="C60" s="8" t="s">
        <v>71</v>
      </c>
      <c r="D60" s="9" t="s">
        <v>59</v>
      </c>
      <c r="E60" s="10">
        <v>1248.82</v>
      </c>
      <c r="F60" s="8">
        <v>2</v>
      </c>
      <c r="G60" s="11">
        <v>0.1</v>
      </c>
      <c r="H60" s="12">
        <v>45473</v>
      </c>
      <c r="I60" s="10">
        <v>449.58</v>
      </c>
      <c r="J60" s="13">
        <f t="shared" ca="1" si="1"/>
        <v>46108.667233912034</v>
      </c>
    </row>
    <row r="61" spans="1:10" x14ac:dyDescent="0.3">
      <c r="A61" s="14" t="s">
        <v>60</v>
      </c>
      <c r="B61" s="6" t="s">
        <v>106</v>
      </c>
      <c r="C61" s="14" t="s">
        <v>58</v>
      </c>
      <c r="D61" s="6" t="s">
        <v>62</v>
      </c>
      <c r="E61" s="15">
        <v>1360.36</v>
      </c>
      <c r="F61" s="14">
        <v>17</v>
      </c>
      <c r="G61" s="16">
        <v>0</v>
      </c>
      <c r="H61" s="12">
        <v>45473</v>
      </c>
      <c r="I61" s="15">
        <v>680.18</v>
      </c>
      <c r="J61" s="13">
        <f t="shared" ca="1" si="1"/>
        <v>46108.667233912034</v>
      </c>
    </row>
    <row r="62" spans="1:10" x14ac:dyDescent="0.3">
      <c r="A62" s="8" t="s">
        <v>104</v>
      </c>
      <c r="B62" s="9" t="s">
        <v>78</v>
      </c>
      <c r="C62" s="8" t="s">
        <v>65</v>
      </c>
      <c r="D62" s="9" t="s">
        <v>59</v>
      </c>
      <c r="E62" s="10">
        <v>1383.3</v>
      </c>
      <c r="F62" s="8">
        <v>8</v>
      </c>
      <c r="G62" s="11">
        <v>0.1</v>
      </c>
      <c r="H62" s="12">
        <v>45478</v>
      </c>
      <c r="I62" s="10">
        <v>497.99</v>
      </c>
      <c r="J62" s="13">
        <f t="shared" ca="1" si="1"/>
        <v>46108.667233912034</v>
      </c>
    </row>
    <row r="63" spans="1:10" x14ac:dyDescent="0.3">
      <c r="A63" s="14" t="s">
        <v>82</v>
      </c>
      <c r="B63" s="6" t="s">
        <v>102</v>
      </c>
      <c r="C63" s="14" t="s">
        <v>81</v>
      </c>
      <c r="D63" s="6" t="s">
        <v>86</v>
      </c>
      <c r="E63" s="15">
        <v>488.99</v>
      </c>
      <c r="F63" s="14">
        <v>9</v>
      </c>
      <c r="G63" s="16">
        <v>0</v>
      </c>
      <c r="H63" s="12">
        <v>45479</v>
      </c>
      <c r="I63" s="15">
        <v>220.05</v>
      </c>
      <c r="J63" s="13">
        <f t="shared" ca="1" si="1"/>
        <v>46108.667233912034</v>
      </c>
    </row>
    <row r="64" spans="1:10" x14ac:dyDescent="0.3">
      <c r="A64" s="8" t="s">
        <v>77</v>
      </c>
      <c r="B64" s="9" t="s">
        <v>78</v>
      </c>
      <c r="C64" s="8" t="s">
        <v>65</v>
      </c>
      <c r="D64" s="9" t="s">
        <v>74</v>
      </c>
      <c r="E64" s="10">
        <v>933.71</v>
      </c>
      <c r="F64" s="8">
        <v>17</v>
      </c>
      <c r="G64" s="11">
        <v>0.1</v>
      </c>
      <c r="H64" s="12">
        <v>45481</v>
      </c>
      <c r="I64" s="10">
        <v>294.12</v>
      </c>
      <c r="J64" s="13">
        <f t="shared" ca="1" si="1"/>
        <v>46108.667233912034</v>
      </c>
    </row>
    <row r="65" spans="1:10" x14ac:dyDescent="0.3">
      <c r="A65" s="14" t="s">
        <v>114</v>
      </c>
      <c r="B65" s="6" t="s">
        <v>57</v>
      </c>
      <c r="C65" s="14" t="s">
        <v>58</v>
      </c>
      <c r="D65" s="6" t="s">
        <v>68</v>
      </c>
      <c r="E65" s="15">
        <v>1005.53</v>
      </c>
      <c r="F65" s="14">
        <v>17</v>
      </c>
      <c r="G65" s="16">
        <v>0.2</v>
      </c>
      <c r="H65" s="12">
        <v>45481</v>
      </c>
      <c r="I65" s="15">
        <v>201.11</v>
      </c>
      <c r="J65" s="13">
        <f t="shared" ca="1" si="1"/>
        <v>46108.667233912034</v>
      </c>
    </row>
    <row r="66" spans="1:10" x14ac:dyDescent="0.3">
      <c r="A66" s="8" t="s">
        <v>88</v>
      </c>
      <c r="B66" s="9" t="s">
        <v>108</v>
      </c>
      <c r="C66" s="8" t="s">
        <v>67</v>
      </c>
      <c r="D66" s="9" t="s">
        <v>68</v>
      </c>
      <c r="E66" s="10">
        <v>1100.0999999999999</v>
      </c>
      <c r="F66" s="8">
        <v>5</v>
      </c>
      <c r="G66" s="11">
        <v>0.05</v>
      </c>
      <c r="H66" s="12">
        <v>45482</v>
      </c>
      <c r="I66" s="10">
        <v>261.27</v>
      </c>
      <c r="J66" s="13">
        <f t="shared" ref="J66:J97" ca="1" si="2">NOW()</f>
        <v>46108.667233912034</v>
      </c>
    </row>
    <row r="67" spans="1:10" x14ac:dyDescent="0.3">
      <c r="A67" s="14" t="s">
        <v>114</v>
      </c>
      <c r="B67" s="6" t="s">
        <v>70</v>
      </c>
      <c r="C67" s="14" t="s">
        <v>71</v>
      </c>
      <c r="D67" s="6" t="s">
        <v>74</v>
      </c>
      <c r="E67" s="15">
        <v>1034.7</v>
      </c>
      <c r="F67" s="14">
        <v>15</v>
      </c>
      <c r="G67" s="16">
        <v>0.15</v>
      </c>
      <c r="H67" s="12">
        <v>45487</v>
      </c>
      <c r="I67" s="15">
        <v>307.82</v>
      </c>
      <c r="J67" s="13">
        <f t="shared" ca="1" si="2"/>
        <v>46108.667233912034</v>
      </c>
    </row>
    <row r="68" spans="1:10" x14ac:dyDescent="0.3">
      <c r="A68" s="8" t="s">
        <v>112</v>
      </c>
      <c r="B68" s="9" t="s">
        <v>78</v>
      </c>
      <c r="C68" s="8" t="s">
        <v>67</v>
      </c>
      <c r="D68" s="9" t="s">
        <v>59</v>
      </c>
      <c r="E68" s="10">
        <v>876.44</v>
      </c>
      <c r="F68" s="8">
        <v>12</v>
      </c>
      <c r="G68" s="11">
        <v>0.05</v>
      </c>
      <c r="H68" s="12">
        <v>45488</v>
      </c>
      <c r="I68" s="10">
        <v>333.05</v>
      </c>
      <c r="J68" s="13">
        <f t="shared" ca="1" si="2"/>
        <v>46108.667233912034</v>
      </c>
    </row>
    <row r="69" spans="1:10" x14ac:dyDescent="0.3">
      <c r="A69" s="14" t="s">
        <v>115</v>
      </c>
      <c r="B69" s="6" t="s">
        <v>102</v>
      </c>
      <c r="C69" s="14" t="s">
        <v>58</v>
      </c>
      <c r="D69" s="6" t="s">
        <v>74</v>
      </c>
      <c r="E69" s="15">
        <v>1371.34</v>
      </c>
      <c r="F69" s="14">
        <v>5</v>
      </c>
      <c r="G69" s="16">
        <v>0.05</v>
      </c>
      <c r="H69" s="12">
        <v>45488</v>
      </c>
      <c r="I69" s="15">
        <v>455.97</v>
      </c>
      <c r="J69" s="13">
        <f t="shared" ca="1" si="2"/>
        <v>46108.667233912034</v>
      </c>
    </row>
    <row r="70" spans="1:10" x14ac:dyDescent="0.3">
      <c r="A70" s="8" t="s">
        <v>104</v>
      </c>
      <c r="B70" s="9" t="s">
        <v>94</v>
      </c>
      <c r="C70" s="8" t="s">
        <v>71</v>
      </c>
      <c r="D70" s="9" t="s">
        <v>68</v>
      </c>
      <c r="E70" s="10">
        <v>1020.26</v>
      </c>
      <c r="F70" s="8">
        <v>11</v>
      </c>
      <c r="G70" s="11">
        <v>0.05</v>
      </c>
      <c r="H70" s="12">
        <v>45494</v>
      </c>
      <c r="I70" s="10">
        <v>242.31</v>
      </c>
      <c r="J70" s="13">
        <f t="shared" ca="1" si="2"/>
        <v>46108.667233912034</v>
      </c>
    </row>
    <row r="71" spans="1:10" x14ac:dyDescent="0.3">
      <c r="A71" s="14" t="s">
        <v>91</v>
      </c>
      <c r="B71" s="6" t="s">
        <v>57</v>
      </c>
      <c r="C71" s="14" t="s">
        <v>81</v>
      </c>
      <c r="D71" s="6" t="s">
        <v>86</v>
      </c>
      <c r="E71" s="15">
        <v>804.81</v>
      </c>
      <c r="F71" s="14">
        <v>1</v>
      </c>
      <c r="G71" s="16">
        <v>0.05</v>
      </c>
      <c r="H71" s="12">
        <v>45502</v>
      </c>
      <c r="I71" s="15">
        <v>344.06</v>
      </c>
      <c r="J71" s="13">
        <f t="shared" ca="1" si="2"/>
        <v>46108.667233912034</v>
      </c>
    </row>
    <row r="72" spans="1:10" x14ac:dyDescent="0.3">
      <c r="A72" s="8" t="s">
        <v>69</v>
      </c>
      <c r="B72" s="9" t="s">
        <v>102</v>
      </c>
      <c r="C72" s="8" t="s">
        <v>81</v>
      </c>
      <c r="D72" s="9" t="s">
        <v>68</v>
      </c>
      <c r="E72" s="10">
        <v>608.66</v>
      </c>
      <c r="F72" s="8">
        <v>1</v>
      </c>
      <c r="G72" s="11">
        <v>0.05</v>
      </c>
      <c r="H72" s="12">
        <v>45503</v>
      </c>
      <c r="I72" s="10">
        <v>144.56</v>
      </c>
      <c r="J72" s="13">
        <f t="shared" ca="1" si="2"/>
        <v>46108.667233912034</v>
      </c>
    </row>
    <row r="73" spans="1:10" x14ac:dyDescent="0.3">
      <c r="A73" s="14" t="s">
        <v>115</v>
      </c>
      <c r="B73" s="6" t="s">
        <v>116</v>
      </c>
      <c r="C73" s="14" t="s">
        <v>67</v>
      </c>
      <c r="D73" s="6" t="s">
        <v>86</v>
      </c>
      <c r="E73" s="15">
        <v>981.2</v>
      </c>
      <c r="F73" s="14">
        <v>19</v>
      </c>
      <c r="G73" s="16">
        <v>0</v>
      </c>
      <c r="H73" s="12">
        <v>45504</v>
      </c>
      <c r="I73" s="15">
        <v>441.54</v>
      </c>
      <c r="J73" s="13">
        <f t="shared" ca="1" si="2"/>
        <v>46108.667233912034</v>
      </c>
    </row>
    <row r="74" spans="1:10" x14ac:dyDescent="0.3">
      <c r="A74" s="8" t="s">
        <v>117</v>
      </c>
      <c r="B74" s="9" t="s">
        <v>102</v>
      </c>
      <c r="C74" s="8" t="s">
        <v>65</v>
      </c>
      <c r="D74" s="9" t="s">
        <v>68</v>
      </c>
      <c r="E74" s="10">
        <v>539.77</v>
      </c>
      <c r="F74" s="8">
        <v>10</v>
      </c>
      <c r="G74" s="11">
        <v>0.15</v>
      </c>
      <c r="H74" s="12">
        <v>45509</v>
      </c>
      <c r="I74" s="10">
        <v>114.7</v>
      </c>
      <c r="J74" s="13">
        <f t="shared" ca="1" si="2"/>
        <v>46108.667233912034</v>
      </c>
    </row>
    <row r="75" spans="1:10" x14ac:dyDescent="0.3">
      <c r="A75" s="14" t="s">
        <v>60</v>
      </c>
      <c r="B75" s="6" t="s">
        <v>118</v>
      </c>
      <c r="C75" s="14" t="s">
        <v>67</v>
      </c>
      <c r="D75" s="6" t="s">
        <v>59</v>
      </c>
      <c r="E75" s="15">
        <v>804.45</v>
      </c>
      <c r="F75" s="14">
        <v>5</v>
      </c>
      <c r="G75" s="16">
        <v>0.2</v>
      </c>
      <c r="H75" s="12">
        <v>45509</v>
      </c>
      <c r="I75" s="15">
        <v>257.42</v>
      </c>
      <c r="J75" s="13">
        <f t="shared" ca="1" si="2"/>
        <v>46108.667233912034</v>
      </c>
    </row>
    <row r="76" spans="1:10" x14ac:dyDescent="0.3">
      <c r="A76" s="8" t="s">
        <v>117</v>
      </c>
      <c r="B76" s="9" t="s">
        <v>85</v>
      </c>
      <c r="C76" s="8" t="s">
        <v>58</v>
      </c>
      <c r="D76" s="9" t="s">
        <v>68</v>
      </c>
      <c r="E76" s="10">
        <v>1526.6</v>
      </c>
      <c r="F76" s="8">
        <v>13</v>
      </c>
      <c r="G76" s="11">
        <v>0.2</v>
      </c>
      <c r="H76" s="12">
        <v>45512</v>
      </c>
      <c r="I76" s="10">
        <v>305.32</v>
      </c>
      <c r="J76" s="13">
        <f t="shared" ca="1" si="2"/>
        <v>46108.667233912034</v>
      </c>
    </row>
    <row r="77" spans="1:10" x14ac:dyDescent="0.3">
      <c r="A77" s="14" t="s">
        <v>60</v>
      </c>
      <c r="B77" s="6" t="s">
        <v>76</v>
      </c>
      <c r="C77" s="14" t="s">
        <v>58</v>
      </c>
      <c r="D77" s="6" t="s">
        <v>68</v>
      </c>
      <c r="E77" s="15">
        <v>1215.26</v>
      </c>
      <c r="F77" s="14">
        <v>5</v>
      </c>
      <c r="G77" s="16">
        <v>0.15</v>
      </c>
      <c r="H77" s="12">
        <v>45513</v>
      </c>
      <c r="I77" s="15">
        <v>258.24</v>
      </c>
      <c r="J77" s="13">
        <f t="shared" ca="1" si="2"/>
        <v>46108.667233912034</v>
      </c>
    </row>
    <row r="78" spans="1:10" x14ac:dyDescent="0.3">
      <c r="A78" s="8" t="s">
        <v>66</v>
      </c>
      <c r="B78" s="9" t="s">
        <v>100</v>
      </c>
      <c r="C78" s="8" t="s">
        <v>81</v>
      </c>
      <c r="D78" s="9" t="s">
        <v>74</v>
      </c>
      <c r="E78" s="10">
        <v>1261.3399999999999</v>
      </c>
      <c r="F78" s="8">
        <v>3</v>
      </c>
      <c r="G78" s="11">
        <v>0</v>
      </c>
      <c r="H78" s="12">
        <v>45519</v>
      </c>
      <c r="I78" s="10">
        <v>441.47</v>
      </c>
      <c r="J78" s="13">
        <f t="shared" ca="1" si="2"/>
        <v>46108.667233912034</v>
      </c>
    </row>
    <row r="79" spans="1:10" x14ac:dyDescent="0.3">
      <c r="A79" s="14" t="s">
        <v>119</v>
      </c>
      <c r="B79" s="6" t="s">
        <v>92</v>
      </c>
      <c r="C79" s="14" t="s">
        <v>71</v>
      </c>
      <c r="D79" s="6" t="s">
        <v>74</v>
      </c>
      <c r="E79" s="15">
        <v>518.07000000000005</v>
      </c>
      <c r="F79" s="14">
        <v>7</v>
      </c>
      <c r="G79" s="16">
        <v>0.05</v>
      </c>
      <c r="H79" s="12">
        <v>45522</v>
      </c>
      <c r="I79" s="15">
        <v>172.26</v>
      </c>
      <c r="J79" s="13">
        <f t="shared" ca="1" si="2"/>
        <v>46108.667233912034</v>
      </c>
    </row>
    <row r="80" spans="1:10" x14ac:dyDescent="0.3">
      <c r="A80" s="8" t="s">
        <v>77</v>
      </c>
      <c r="B80" s="9" t="s">
        <v>76</v>
      </c>
      <c r="C80" s="8" t="s">
        <v>58</v>
      </c>
      <c r="D80" s="9" t="s">
        <v>86</v>
      </c>
      <c r="E80" s="10">
        <v>1111.3399999999999</v>
      </c>
      <c r="F80" s="8">
        <v>1</v>
      </c>
      <c r="G80" s="11">
        <v>0</v>
      </c>
      <c r="H80" s="12">
        <v>45523</v>
      </c>
      <c r="I80" s="10">
        <v>500.1</v>
      </c>
      <c r="J80" s="13">
        <f t="shared" ca="1" si="2"/>
        <v>46108.667233912034</v>
      </c>
    </row>
    <row r="81" spans="1:10" x14ac:dyDescent="0.3">
      <c r="A81" s="14" t="s">
        <v>69</v>
      </c>
      <c r="B81" s="6" t="s">
        <v>78</v>
      </c>
      <c r="C81" s="14" t="s">
        <v>65</v>
      </c>
      <c r="D81" s="6" t="s">
        <v>62</v>
      </c>
      <c r="E81" s="15">
        <v>1291.47</v>
      </c>
      <c r="F81" s="14">
        <v>18</v>
      </c>
      <c r="G81" s="16">
        <v>0.1</v>
      </c>
      <c r="H81" s="12">
        <v>45526</v>
      </c>
      <c r="I81" s="15">
        <v>581.16</v>
      </c>
      <c r="J81" s="13">
        <f t="shared" ca="1" si="2"/>
        <v>46108.667233912034</v>
      </c>
    </row>
    <row r="82" spans="1:10" x14ac:dyDescent="0.3">
      <c r="A82" s="8" t="s">
        <v>72</v>
      </c>
      <c r="B82" s="9" t="s">
        <v>102</v>
      </c>
      <c r="C82" s="8" t="s">
        <v>71</v>
      </c>
      <c r="D82" s="9" t="s">
        <v>59</v>
      </c>
      <c r="E82" s="10">
        <v>679.71</v>
      </c>
      <c r="F82" s="8">
        <v>19</v>
      </c>
      <c r="G82" s="11">
        <v>0</v>
      </c>
      <c r="H82" s="12">
        <v>45534</v>
      </c>
      <c r="I82" s="10">
        <v>271.88</v>
      </c>
      <c r="J82" s="13">
        <f t="shared" ca="1" si="2"/>
        <v>46108.667233912034</v>
      </c>
    </row>
    <row r="83" spans="1:10" x14ac:dyDescent="0.3">
      <c r="A83" s="14" t="s">
        <v>115</v>
      </c>
      <c r="B83" s="6" t="s">
        <v>80</v>
      </c>
      <c r="C83" s="14" t="s">
        <v>65</v>
      </c>
      <c r="D83" s="6" t="s">
        <v>74</v>
      </c>
      <c r="E83" s="15">
        <v>1143.69</v>
      </c>
      <c r="F83" s="14">
        <v>17</v>
      </c>
      <c r="G83" s="16">
        <v>0</v>
      </c>
      <c r="H83" s="12">
        <v>45534</v>
      </c>
      <c r="I83" s="15">
        <v>400.29</v>
      </c>
      <c r="J83" s="13">
        <f t="shared" ca="1" si="2"/>
        <v>46108.667233912034</v>
      </c>
    </row>
    <row r="84" spans="1:10" x14ac:dyDescent="0.3">
      <c r="A84" s="8" t="s">
        <v>99</v>
      </c>
      <c r="B84" s="9" t="s">
        <v>97</v>
      </c>
      <c r="C84" s="8" t="s">
        <v>81</v>
      </c>
      <c r="D84" s="9" t="s">
        <v>68</v>
      </c>
      <c r="E84" s="10">
        <v>790.08</v>
      </c>
      <c r="F84" s="8">
        <v>7</v>
      </c>
      <c r="G84" s="11">
        <v>0.1</v>
      </c>
      <c r="H84" s="12">
        <v>45536</v>
      </c>
      <c r="I84" s="10">
        <v>177.77</v>
      </c>
      <c r="J84" s="13">
        <f t="shared" ca="1" si="2"/>
        <v>46108.667233912034</v>
      </c>
    </row>
    <row r="85" spans="1:10" x14ac:dyDescent="0.3">
      <c r="A85" s="14" t="s">
        <v>66</v>
      </c>
      <c r="B85" s="6" t="s">
        <v>95</v>
      </c>
      <c r="C85" s="14" t="s">
        <v>81</v>
      </c>
      <c r="D85" s="6" t="s">
        <v>59</v>
      </c>
      <c r="E85" s="15">
        <v>1070.68</v>
      </c>
      <c r="F85" s="14">
        <v>7</v>
      </c>
      <c r="G85" s="16">
        <v>0.05</v>
      </c>
      <c r="H85" s="12">
        <v>45536</v>
      </c>
      <c r="I85" s="15">
        <v>406.86</v>
      </c>
      <c r="J85" s="13">
        <f t="shared" ca="1" si="2"/>
        <v>46108.667233912034</v>
      </c>
    </row>
    <row r="86" spans="1:10" x14ac:dyDescent="0.3">
      <c r="A86" s="8" t="s">
        <v>105</v>
      </c>
      <c r="B86" s="9" t="s">
        <v>83</v>
      </c>
      <c r="C86" s="8" t="s">
        <v>58</v>
      </c>
      <c r="D86" s="9" t="s">
        <v>62</v>
      </c>
      <c r="E86" s="10">
        <v>1168.8900000000001</v>
      </c>
      <c r="F86" s="8">
        <v>4</v>
      </c>
      <c r="G86" s="11">
        <v>0.1</v>
      </c>
      <c r="H86" s="12">
        <v>45544</v>
      </c>
      <c r="I86" s="10">
        <v>526</v>
      </c>
      <c r="J86" s="13">
        <f t="shared" ca="1" si="2"/>
        <v>46108.667233912034</v>
      </c>
    </row>
    <row r="87" spans="1:10" x14ac:dyDescent="0.3">
      <c r="A87" s="14" t="s">
        <v>114</v>
      </c>
      <c r="B87" s="6" t="s">
        <v>57</v>
      </c>
      <c r="C87" s="14" t="s">
        <v>67</v>
      </c>
      <c r="D87" s="6" t="s">
        <v>68</v>
      </c>
      <c r="E87" s="15">
        <v>1335.87</v>
      </c>
      <c r="F87" s="14">
        <v>17</v>
      </c>
      <c r="G87" s="16">
        <v>0</v>
      </c>
      <c r="H87" s="12">
        <v>45544</v>
      </c>
      <c r="I87" s="15">
        <v>333.97</v>
      </c>
      <c r="J87" s="13">
        <f t="shared" ca="1" si="2"/>
        <v>46108.667233912034</v>
      </c>
    </row>
    <row r="88" spans="1:10" x14ac:dyDescent="0.3">
      <c r="A88" s="8" t="s">
        <v>87</v>
      </c>
      <c r="B88" s="9" t="s">
        <v>102</v>
      </c>
      <c r="C88" s="8" t="s">
        <v>65</v>
      </c>
      <c r="D88" s="9" t="s">
        <v>74</v>
      </c>
      <c r="E88" s="10">
        <v>873.7</v>
      </c>
      <c r="F88" s="8">
        <v>9</v>
      </c>
      <c r="G88" s="11">
        <v>0</v>
      </c>
      <c r="H88" s="12">
        <v>45546</v>
      </c>
      <c r="I88" s="10">
        <v>305.8</v>
      </c>
      <c r="J88" s="13">
        <f t="shared" ca="1" si="2"/>
        <v>46108.667233912034</v>
      </c>
    </row>
    <row r="89" spans="1:10" x14ac:dyDescent="0.3">
      <c r="A89" s="14" t="s">
        <v>119</v>
      </c>
      <c r="B89" s="6" t="s">
        <v>111</v>
      </c>
      <c r="C89" s="14" t="s">
        <v>58</v>
      </c>
      <c r="D89" s="6" t="s">
        <v>86</v>
      </c>
      <c r="E89" s="15">
        <v>1443.98</v>
      </c>
      <c r="F89" s="14">
        <v>19</v>
      </c>
      <c r="G89" s="16">
        <v>0</v>
      </c>
      <c r="H89" s="12">
        <v>45547</v>
      </c>
      <c r="I89" s="15">
        <v>649.79</v>
      </c>
      <c r="J89" s="13">
        <f t="shared" ca="1" si="2"/>
        <v>46108.667233912034</v>
      </c>
    </row>
    <row r="90" spans="1:10" x14ac:dyDescent="0.3">
      <c r="A90" s="8" t="s">
        <v>87</v>
      </c>
      <c r="B90" s="9" t="s">
        <v>70</v>
      </c>
      <c r="C90" s="8" t="s">
        <v>65</v>
      </c>
      <c r="D90" s="9" t="s">
        <v>86</v>
      </c>
      <c r="E90" s="10">
        <v>1154.33</v>
      </c>
      <c r="F90" s="8">
        <v>11</v>
      </c>
      <c r="G90" s="11">
        <v>0.15</v>
      </c>
      <c r="H90" s="12">
        <v>45549</v>
      </c>
      <c r="I90" s="10">
        <v>441.53</v>
      </c>
      <c r="J90" s="13">
        <f t="shared" ca="1" si="2"/>
        <v>46108.667233912034</v>
      </c>
    </row>
    <row r="91" spans="1:10" x14ac:dyDescent="0.3">
      <c r="A91" s="14" t="s">
        <v>96</v>
      </c>
      <c r="B91" s="6" t="s">
        <v>97</v>
      </c>
      <c r="C91" s="14" t="s">
        <v>67</v>
      </c>
      <c r="D91" s="6" t="s">
        <v>59</v>
      </c>
      <c r="E91" s="15">
        <v>1264.49</v>
      </c>
      <c r="F91" s="14">
        <v>16</v>
      </c>
      <c r="G91" s="16">
        <v>0.05</v>
      </c>
      <c r="H91" s="12">
        <v>45549</v>
      </c>
      <c r="I91" s="15">
        <v>480.51</v>
      </c>
      <c r="J91" s="13">
        <f t="shared" ca="1" si="2"/>
        <v>46108.667233912034</v>
      </c>
    </row>
    <row r="92" spans="1:10" x14ac:dyDescent="0.3">
      <c r="A92" s="8" t="s">
        <v>72</v>
      </c>
      <c r="B92" s="9" t="s">
        <v>113</v>
      </c>
      <c r="C92" s="8" t="s">
        <v>58</v>
      </c>
      <c r="D92" s="9" t="s">
        <v>74</v>
      </c>
      <c r="E92" s="10">
        <v>1101.55</v>
      </c>
      <c r="F92" s="8">
        <v>4</v>
      </c>
      <c r="G92" s="11">
        <v>0.1</v>
      </c>
      <c r="H92" s="12">
        <v>45551</v>
      </c>
      <c r="I92" s="10">
        <v>346.99</v>
      </c>
      <c r="J92" s="13">
        <f t="shared" ca="1" si="2"/>
        <v>46108.667233912034</v>
      </c>
    </row>
    <row r="93" spans="1:10" x14ac:dyDescent="0.3">
      <c r="A93" s="14" t="s">
        <v>120</v>
      </c>
      <c r="B93" s="6" t="s">
        <v>61</v>
      </c>
      <c r="C93" s="14" t="s">
        <v>67</v>
      </c>
      <c r="D93" s="6" t="s">
        <v>74</v>
      </c>
      <c r="E93" s="15">
        <v>727.73</v>
      </c>
      <c r="F93" s="14">
        <v>1</v>
      </c>
      <c r="G93" s="16">
        <v>0.1</v>
      </c>
      <c r="H93" s="12">
        <v>45552</v>
      </c>
      <c r="I93" s="15">
        <v>229.23</v>
      </c>
      <c r="J93" s="13">
        <f t="shared" ca="1" si="2"/>
        <v>46108.667233912034</v>
      </c>
    </row>
    <row r="94" spans="1:10" x14ac:dyDescent="0.3">
      <c r="A94" s="8" t="s">
        <v>121</v>
      </c>
      <c r="B94" s="9" t="s">
        <v>85</v>
      </c>
      <c r="C94" s="8" t="s">
        <v>65</v>
      </c>
      <c r="D94" s="9" t="s">
        <v>86</v>
      </c>
      <c r="E94" s="10">
        <v>875.41</v>
      </c>
      <c r="F94" s="8">
        <v>13</v>
      </c>
      <c r="G94" s="11">
        <v>0.15</v>
      </c>
      <c r="H94" s="12">
        <v>45552</v>
      </c>
      <c r="I94" s="10">
        <v>334.84</v>
      </c>
      <c r="J94" s="13">
        <f t="shared" ca="1" si="2"/>
        <v>46108.667233912034</v>
      </c>
    </row>
    <row r="95" spans="1:10" x14ac:dyDescent="0.3">
      <c r="A95" s="14" t="s">
        <v>114</v>
      </c>
      <c r="B95" s="6" t="s">
        <v>70</v>
      </c>
      <c r="C95" s="14" t="s">
        <v>58</v>
      </c>
      <c r="D95" s="6" t="s">
        <v>68</v>
      </c>
      <c r="E95" s="15">
        <v>1158.94</v>
      </c>
      <c r="F95" s="14">
        <v>19</v>
      </c>
      <c r="G95" s="16">
        <v>0.2</v>
      </c>
      <c r="H95" s="12">
        <v>45553</v>
      </c>
      <c r="I95" s="15">
        <v>231.79</v>
      </c>
      <c r="J95" s="13">
        <f t="shared" ca="1" si="2"/>
        <v>46108.667233912034</v>
      </c>
    </row>
    <row r="96" spans="1:10" x14ac:dyDescent="0.3">
      <c r="A96" s="8" t="s">
        <v>122</v>
      </c>
      <c r="B96" s="9" t="s">
        <v>94</v>
      </c>
      <c r="C96" s="8" t="s">
        <v>67</v>
      </c>
      <c r="D96" s="9" t="s">
        <v>59</v>
      </c>
      <c r="E96" s="10">
        <v>966.3</v>
      </c>
      <c r="F96" s="8">
        <v>2</v>
      </c>
      <c r="G96" s="11">
        <v>0.15</v>
      </c>
      <c r="H96" s="12">
        <v>45557</v>
      </c>
      <c r="I96" s="10">
        <v>328.54</v>
      </c>
      <c r="J96" s="13">
        <f t="shared" ca="1" si="2"/>
        <v>46108.667233912034</v>
      </c>
    </row>
    <row r="97" spans="1:10" x14ac:dyDescent="0.3">
      <c r="A97" s="14" t="s">
        <v>115</v>
      </c>
      <c r="B97" s="6" t="s">
        <v>64</v>
      </c>
      <c r="C97" s="14" t="s">
        <v>67</v>
      </c>
      <c r="D97" s="6" t="s">
        <v>59</v>
      </c>
      <c r="E97" s="15">
        <v>917.48</v>
      </c>
      <c r="F97" s="14">
        <v>6</v>
      </c>
      <c r="G97" s="16">
        <v>0</v>
      </c>
      <c r="H97" s="12">
        <v>45558</v>
      </c>
      <c r="I97" s="15">
        <v>366.99</v>
      </c>
      <c r="J97" s="13">
        <f t="shared" ca="1" si="2"/>
        <v>46108.667233912034</v>
      </c>
    </row>
    <row r="98" spans="1:10" x14ac:dyDescent="0.3">
      <c r="A98" s="8" t="s">
        <v>88</v>
      </c>
      <c r="B98" s="9" t="s">
        <v>108</v>
      </c>
      <c r="C98" s="8" t="s">
        <v>58</v>
      </c>
      <c r="D98" s="9" t="s">
        <v>74</v>
      </c>
      <c r="E98" s="10">
        <v>1172.97</v>
      </c>
      <c r="F98" s="8">
        <v>7</v>
      </c>
      <c r="G98" s="11">
        <v>0.15</v>
      </c>
      <c r="H98" s="12">
        <v>45559</v>
      </c>
      <c r="I98" s="10">
        <v>348.96</v>
      </c>
      <c r="J98" s="13">
        <f t="shared" ref="J98:J129" ca="1" si="3">NOW()</f>
        <v>46108.667233912034</v>
      </c>
    </row>
    <row r="99" spans="1:10" x14ac:dyDescent="0.3">
      <c r="A99" s="14" t="s">
        <v>104</v>
      </c>
      <c r="B99" s="6" t="s">
        <v>70</v>
      </c>
      <c r="C99" s="14" t="s">
        <v>71</v>
      </c>
      <c r="D99" s="6" t="s">
        <v>62</v>
      </c>
      <c r="E99" s="15">
        <v>1205.82</v>
      </c>
      <c r="F99" s="14">
        <v>11</v>
      </c>
      <c r="G99" s="16">
        <v>0.1</v>
      </c>
      <c r="H99" s="12">
        <v>45559</v>
      </c>
      <c r="I99" s="15">
        <v>542.62</v>
      </c>
      <c r="J99" s="13">
        <f t="shared" ca="1" si="3"/>
        <v>46108.667233912034</v>
      </c>
    </row>
    <row r="100" spans="1:10" x14ac:dyDescent="0.3">
      <c r="A100" s="8" t="s">
        <v>63</v>
      </c>
      <c r="B100" s="9" t="s">
        <v>111</v>
      </c>
      <c r="C100" s="8" t="s">
        <v>58</v>
      </c>
      <c r="D100" s="9" t="s">
        <v>86</v>
      </c>
      <c r="E100" s="10">
        <v>826.93</v>
      </c>
      <c r="F100" s="8">
        <v>10</v>
      </c>
      <c r="G100" s="11">
        <v>0.2</v>
      </c>
      <c r="H100" s="12">
        <v>45564</v>
      </c>
      <c r="I100" s="10">
        <v>297.69</v>
      </c>
      <c r="J100" s="13">
        <f t="shared" ca="1" si="3"/>
        <v>46108.667233912034</v>
      </c>
    </row>
    <row r="101" spans="1:10" x14ac:dyDescent="0.3">
      <c r="A101" s="14" t="s">
        <v>114</v>
      </c>
      <c r="B101" s="6" t="s">
        <v>70</v>
      </c>
      <c r="C101" s="14" t="s">
        <v>81</v>
      </c>
      <c r="D101" s="6" t="s">
        <v>62</v>
      </c>
      <c r="E101" s="15">
        <v>902.19</v>
      </c>
      <c r="F101" s="14">
        <v>12</v>
      </c>
      <c r="G101" s="16">
        <v>0</v>
      </c>
      <c r="H101" s="12">
        <v>45564</v>
      </c>
      <c r="I101" s="15">
        <v>451.1</v>
      </c>
      <c r="J101" s="13">
        <f t="shared" ca="1" si="3"/>
        <v>46108.667233912034</v>
      </c>
    </row>
    <row r="102" spans="1:10" x14ac:dyDescent="0.3">
      <c r="A102" s="8" t="s">
        <v>121</v>
      </c>
      <c r="B102" s="9" t="s">
        <v>85</v>
      </c>
      <c r="C102" s="8" t="s">
        <v>71</v>
      </c>
      <c r="D102" s="9" t="s">
        <v>59</v>
      </c>
      <c r="E102" s="10">
        <v>585.97</v>
      </c>
      <c r="F102" s="8">
        <v>17</v>
      </c>
      <c r="G102" s="11">
        <v>0.1</v>
      </c>
      <c r="H102" s="12">
        <v>45565</v>
      </c>
      <c r="I102" s="10">
        <v>210.95</v>
      </c>
      <c r="J102" s="13">
        <f t="shared" ca="1" si="3"/>
        <v>46108.667233912034</v>
      </c>
    </row>
    <row r="103" spans="1:10" x14ac:dyDescent="0.3">
      <c r="A103" s="14" t="s">
        <v>107</v>
      </c>
      <c r="B103" s="6" t="s">
        <v>73</v>
      </c>
      <c r="C103" s="14" t="s">
        <v>71</v>
      </c>
      <c r="D103" s="6" t="s">
        <v>62</v>
      </c>
      <c r="E103" s="15">
        <v>990.19</v>
      </c>
      <c r="F103" s="14">
        <v>8</v>
      </c>
      <c r="G103" s="16">
        <v>0.1</v>
      </c>
      <c r="H103" s="12">
        <v>45565</v>
      </c>
      <c r="I103" s="15">
        <v>445.59</v>
      </c>
      <c r="J103" s="13">
        <f t="shared" ca="1" si="3"/>
        <v>46108.667233912034</v>
      </c>
    </row>
    <row r="104" spans="1:10" x14ac:dyDescent="0.3">
      <c r="A104" s="8" t="s">
        <v>91</v>
      </c>
      <c r="B104" s="9" t="s">
        <v>103</v>
      </c>
      <c r="C104" s="8" t="s">
        <v>81</v>
      </c>
      <c r="D104" s="9" t="s">
        <v>68</v>
      </c>
      <c r="E104" s="10">
        <v>1014.09</v>
      </c>
      <c r="F104" s="8">
        <v>13</v>
      </c>
      <c r="G104" s="11">
        <v>0.2</v>
      </c>
      <c r="H104" s="12">
        <v>45567</v>
      </c>
      <c r="I104" s="10">
        <v>202.82</v>
      </c>
      <c r="J104" s="13">
        <f t="shared" ca="1" si="3"/>
        <v>46108.667233912034</v>
      </c>
    </row>
    <row r="105" spans="1:10" x14ac:dyDescent="0.3">
      <c r="A105" s="14" t="s">
        <v>60</v>
      </c>
      <c r="B105" s="6" t="s">
        <v>95</v>
      </c>
      <c r="C105" s="14" t="s">
        <v>71</v>
      </c>
      <c r="D105" s="6" t="s">
        <v>68</v>
      </c>
      <c r="E105" s="15">
        <v>925.29</v>
      </c>
      <c r="F105" s="14">
        <v>17</v>
      </c>
      <c r="G105" s="16">
        <v>0</v>
      </c>
      <c r="H105" s="12">
        <v>45570</v>
      </c>
      <c r="I105" s="15">
        <v>231.32</v>
      </c>
      <c r="J105" s="13">
        <f t="shared" ca="1" si="3"/>
        <v>46108.667233912034</v>
      </c>
    </row>
    <row r="106" spans="1:10" x14ac:dyDescent="0.3">
      <c r="A106" s="8" t="s">
        <v>101</v>
      </c>
      <c r="B106" s="9" t="s">
        <v>94</v>
      </c>
      <c r="C106" s="8" t="s">
        <v>65</v>
      </c>
      <c r="D106" s="9" t="s">
        <v>74</v>
      </c>
      <c r="E106" s="10">
        <v>1286.54</v>
      </c>
      <c r="F106" s="8">
        <v>8</v>
      </c>
      <c r="G106" s="11">
        <v>0</v>
      </c>
      <c r="H106" s="12">
        <v>45575</v>
      </c>
      <c r="I106" s="10">
        <v>450.29</v>
      </c>
      <c r="J106" s="13">
        <f t="shared" ca="1" si="3"/>
        <v>46108.667233912034</v>
      </c>
    </row>
    <row r="107" spans="1:10" x14ac:dyDescent="0.3">
      <c r="A107" s="14" t="s">
        <v>84</v>
      </c>
      <c r="B107" s="6" t="s">
        <v>111</v>
      </c>
      <c r="C107" s="14" t="s">
        <v>67</v>
      </c>
      <c r="D107" s="6" t="s">
        <v>59</v>
      </c>
      <c r="E107" s="15">
        <v>961.62</v>
      </c>
      <c r="F107" s="14">
        <v>8</v>
      </c>
      <c r="G107" s="16">
        <v>0.2</v>
      </c>
      <c r="H107" s="12">
        <v>45577</v>
      </c>
      <c r="I107" s="15">
        <v>307.72000000000003</v>
      </c>
      <c r="J107" s="13">
        <f t="shared" ca="1" si="3"/>
        <v>46108.667233912034</v>
      </c>
    </row>
    <row r="108" spans="1:10" x14ac:dyDescent="0.3">
      <c r="A108" s="8" t="s">
        <v>91</v>
      </c>
      <c r="B108" s="9" t="s">
        <v>70</v>
      </c>
      <c r="C108" s="8" t="s">
        <v>65</v>
      </c>
      <c r="D108" s="9" t="s">
        <v>59</v>
      </c>
      <c r="E108" s="10">
        <v>1081.1400000000001</v>
      </c>
      <c r="F108" s="8">
        <v>19</v>
      </c>
      <c r="G108" s="11">
        <v>0.15</v>
      </c>
      <c r="H108" s="12">
        <v>45577</v>
      </c>
      <c r="I108" s="10">
        <v>367.59</v>
      </c>
      <c r="J108" s="13">
        <f t="shared" ca="1" si="3"/>
        <v>46108.667233912034</v>
      </c>
    </row>
    <row r="109" spans="1:10" x14ac:dyDescent="0.3">
      <c r="A109" s="14" t="s">
        <v>105</v>
      </c>
      <c r="B109" s="6" t="s">
        <v>70</v>
      </c>
      <c r="C109" s="14" t="s">
        <v>58</v>
      </c>
      <c r="D109" s="6" t="s">
        <v>62</v>
      </c>
      <c r="E109" s="15">
        <v>1923.66</v>
      </c>
      <c r="F109" s="14">
        <v>9</v>
      </c>
      <c r="G109" s="16">
        <v>0.2</v>
      </c>
      <c r="H109" s="12">
        <v>45580</v>
      </c>
      <c r="I109" s="15">
        <v>769.46</v>
      </c>
      <c r="J109" s="13">
        <f t="shared" ca="1" si="3"/>
        <v>46108.667233912034</v>
      </c>
    </row>
    <row r="110" spans="1:10" x14ac:dyDescent="0.3">
      <c r="A110" s="8" t="s">
        <v>101</v>
      </c>
      <c r="B110" s="9" t="s">
        <v>113</v>
      </c>
      <c r="C110" s="8" t="s">
        <v>81</v>
      </c>
      <c r="D110" s="9" t="s">
        <v>62</v>
      </c>
      <c r="E110" s="10">
        <v>728.71</v>
      </c>
      <c r="F110" s="8">
        <v>14</v>
      </c>
      <c r="G110" s="11">
        <v>0.1</v>
      </c>
      <c r="H110" s="12">
        <v>45581</v>
      </c>
      <c r="I110" s="10">
        <v>327.92</v>
      </c>
      <c r="J110" s="13">
        <f t="shared" ca="1" si="3"/>
        <v>46108.667233912034</v>
      </c>
    </row>
    <row r="111" spans="1:10" x14ac:dyDescent="0.3">
      <c r="A111" s="14" t="s">
        <v>56</v>
      </c>
      <c r="B111" s="6" t="s">
        <v>80</v>
      </c>
      <c r="C111" s="14" t="s">
        <v>81</v>
      </c>
      <c r="D111" s="6" t="s">
        <v>62</v>
      </c>
      <c r="E111" s="15">
        <v>1301.8900000000001</v>
      </c>
      <c r="F111" s="14">
        <v>7</v>
      </c>
      <c r="G111" s="16">
        <v>0.15</v>
      </c>
      <c r="H111" s="12">
        <v>45581</v>
      </c>
      <c r="I111" s="15">
        <v>553.29999999999995</v>
      </c>
      <c r="J111" s="13">
        <f t="shared" ca="1" si="3"/>
        <v>46108.667233912034</v>
      </c>
    </row>
    <row r="112" spans="1:10" x14ac:dyDescent="0.3">
      <c r="A112" s="8" t="s">
        <v>117</v>
      </c>
      <c r="B112" s="9" t="s">
        <v>113</v>
      </c>
      <c r="C112" s="8" t="s">
        <v>65</v>
      </c>
      <c r="D112" s="9" t="s">
        <v>59</v>
      </c>
      <c r="E112" s="10">
        <v>980.18</v>
      </c>
      <c r="F112" s="8">
        <v>16</v>
      </c>
      <c r="G112" s="11">
        <v>0.1</v>
      </c>
      <c r="H112" s="12">
        <v>45582</v>
      </c>
      <c r="I112" s="10">
        <v>352.86</v>
      </c>
      <c r="J112" s="13">
        <f t="shared" ca="1" si="3"/>
        <v>46108.667233912034</v>
      </c>
    </row>
    <row r="113" spans="1:10" x14ac:dyDescent="0.3">
      <c r="A113" s="14" t="s">
        <v>121</v>
      </c>
      <c r="B113" s="6" t="s">
        <v>70</v>
      </c>
      <c r="C113" s="14" t="s">
        <v>58</v>
      </c>
      <c r="D113" s="6" t="s">
        <v>62</v>
      </c>
      <c r="E113" s="15">
        <v>697.57</v>
      </c>
      <c r="F113" s="14">
        <v>17</v>
      </c>
      <c r="G113" s="16">
        <v>0.1</v>
      </c>
      <c r="H113" s="12">
        <v>45584</v>
      </c>
      <c r="I113" s="15">
        <v>313.91000000000003</v>
      </c>
      <c r="J113" s="13">
        <f t="shared" ca="1" si="3"/>
        <v>46108.667233912034</v>
      </c>
    </row>
    <row r="114" spans="1:10" x14ac:dyDescent="0.3">
      <c r="A114" s="8" t="s">
        <v>93</v>
      </c>
      <c r="B114" s="9" t="s">
        <v>118</v>
      </c>
      <c r="C114" s="8" t="s">
        <v>58</v>
      </c>
      <c r="D114" s="9" t="s">
        <v>74</v>
      </c>
      <c r="E114" s="10">
        <v>1193.6099999999999</v>
      </c>
      <c r="F114" s="8">
        <v>1</v>
      </c>
      <c r="G114" s="11">
        <v>0.15</v>
      </c>
      <c r="H114" s="12">
        <v>45584</v>
      </c>
      <c r="I114" s="10">
        <v>355.1</v>
      </c>
      <c r="J114" s="13">
        <f t="shared" ca="1" si="3"/>
        <v>46108.667233912034</v>
      </c>
    </row>
    <row r="115" spans="1:10" x14ac:dyDescent="0.3">
      <c r="A115" s="14" t="s">
        <v>79</v>
      </c>
      <c r="B115" s="6" t="s">
        <v>85</v>
      </c>
      <c r="C115" s="14" t="s">
        <v>67</v>
      </c>
      <c r="D115" s="6" t="s">
        <v>68</v>
      </c>
      <c r="E115" s="15">
        <v>771.02</v>
      </c>
      <c r="F115" s="14">
        <v>1</v>
      </c>
      <c r="G115" s="16">
        <v>0</v>
      </c>
      <c r="H115" s="12">
        <v>45585</v>
      </c>
      <c r="I115" s="15">
        <v>192.76</v>
      </c>
      <c r="J115" s="13">
        <f t="shared" ca="1" si="3"/>
        <v>46108.667233912034</v>
      </c>
    </row>
    <row r="116" spans="1:10" x14ac:dyDescent="0.3">
      <c r="A116" s="8" t="s">
        <v>114</v>
      </c>
      <c r="B116" s="9" t="s">
        <v>116</v>
      </c>
      <c r="C116" s="8" t="s">
        <v>71</v>
      </c>
      <c r="D116" s="9" t="s">
        <v>62</v>
      </c>
      <c r="E116" s="10">
        <v>661.09</v>
      </c>
      <c r="F116" s="8">
        <v>1</v>
      </c>
      <c r="G116" s="11">
        <v>0.2</v>
      </c>
      <c r="H116" s="12">
        <v>45593</v>
      </c>
      <c r="I116" s="10">
        <v>264.44</v>
      </c>
      <c r="J116" s="13">
        <f t="shared" ca="1" si="3"/>
        <v>46108.667233912034</v>
      </c>
    </row>
    <row r="117" spans="1:10" x14ac:dyDescent="0.3">
      <c r="A117" s="14" t="s">
        <v>60</v>
      </c>
      <c r="B117" s="6" t="s">
        <v>102</v>
      </c>
      <c r="C117" s="14" t="s">
        <v>58</v>
      </c>
      <c r="D117" s="6" t="s">
        <v>68</v>
      </c>
      <c r="E117" s="15">
        <v>688.83</v>
      </c>
      <c r="F117" s="14">
        <v>15</v>
      </c>
      <c r="G117" s="16">
        <v>0</v>
      </c>
      <c r="H117" s="12">
        <v>45595</v>
      </c>
      <c r="I117" s="15">
        <v>172.21</v>
      </c>
      <c r="J117" s="13">
        <f t="shared" ca="1" si="3"/>
        <v>46108.667233912034</v>
      </c>
    </row>
    <row r="118" spans="1:10" x14ac:dyDescent="0.3">
      <c r="A118" s="8" t="s">
        <v>120</v>
      </c>
      <c r="B118" s="9" t="s">
        <v>76</v>
      </c>
      <c r="C118" s="8" t="s">
        <v>81</v>
      </c>
      <c r="D118" s="9" t="s">
        <v>59</v>
      </c>
      <c r="E118" s="10">
        <v>1249.0999999999999</v>
      </c>
      <c r="F118" s="8">
        <v>4</v>
      </c>
      <c r="G118" s="11">
        <v>0.05</v>
      </c>
      <c r="H118" s="12">
        <v>45597</v>
      </c>
      <c r="I118" s="10">
        <v>474.66</v>
      </c>
      <c r="J118" s="13">
        <f t="shared" ca="1" si="3"/>
        <v>46108.667233912034</v>
      </c>
    </row>
    <row r="119" spans="1:10" x14ac:dyDescent="0.3">
      <c r="A119" s="14" t="s">
        <v>91</v>
      </c>
      <c r="B119" s="6" t="s">
        <v>70</v>
      </c>
      <c r="C119" s="14" t="s">
        <v>65</v>
      </c>
      <c r="D119" s="6" t="s">
        <v>86</v>
      </c>
      <c r="E119" s="15">
        <v>1014.22</v>
      </c>
      <c r="F119" s="14">
        <v>14</v>
      </c>
      <c r="G119" s="16">
        <v>0.05</v>
      </c>
      <c r="H119" s="12">
        <v>45599</v>
      </c>
      <c r="I119" s="15">
        <v>433.58</v>
      </c>
      <c r="J119" s="13">
        <f t="shared" ca="1" si="3"/>
        <v>46108.667233912034</v>
      </c>
    </row>
    <row r="120" spans="1:10" x14ac:dyDescent="0.3">
      <c r="A120" s="8" t="s">
        <v>101</v>
      </c>
      <c r="B120" s="9" t="s">
        <v>95</v>
      </c>
      <c r="C120" s="8" t="s">
        <v>65</v>
      </c>
      <c r="D120" s="9" t="s">
        <v>59</v>
      </c>
      <c r="E120" s="10">
        <v>1010.58</v>
      </c>
      <c r="F120" s="8">
        <v>2</v>
      </c>
      <c r="G120" s="11">
        <v>0.15</v>
      </c>
      <c r="H120" s="12">
        <v>45605</v>
      </c>
      <c r="I120" s="10">
        <v>343.6</v>
      </c>
      <c r="J120" s="13">
        <f t="shared" ca="1" si="3"/>
        <v>46108.667233912034</v>
      </c>
    </row>
    <row r="121" spans="1:10" x14ac:dyDescent="0.3">
      <c r="A121" s="14" t="s">
        <v>77</v>
      </c>
      <c r="B121" s="6" t="s">
        <v>106</v>
      </c>
      <c r="C121" s="14" t="s">
        <v>71</v>
      </c>
      <c r="D121" s="6" t="s">
        <v>74</v>
      </c>
      <c r="E121" s="15">
        <v>957.29</v>
      </c>
      <c r="F121" s="14">
        <v>4</v>
      </c>
      <c r="G121" s="16">
        <v>0.05</v>
      </c>
      <c r="H121" s="12">
        <v>45605</v>
      </c>
      <c r="I121" s="15">
        <v>318.3</v>
      </c>
      <c r="J121" s="13">
        <f t="shared" ca="1" si="3"/>
        <v>46108.667233912034</v>
      </c>
    </row>
    <row r="122" spans="1:10" x14ac:dyDescent="0.3">
      <c r="A122" s="8" t="s">
        <v>75</v>
      </c>
      <c r="B122" s="9" t="s">
        <v>92</v>
      </c>
      <c r="C122" s="8" t="s">
        <v>71</v>
      </c>
      <c r="D122" s="9" t="s">
        <v>74</v>
      </c>
      <c r="E122" s="10">
        <v>1077.92</v>
      </c>
      <c r="F122" s="8">
        <v>3</v>
      </c>
      <c r="G122" s="11">
        <v>0.05</v>
      </c>
      <c r="H122" s="12">
        <v>45608</v>
      </c>
      <c r="I122" s="10">
        <v>358.41</v>
      </c>
      <c r="J122" s="13">
        <f t="shared" ca="1" si="3"/>
        <v>46108.667233912034</v>
      </c>
    </row>
    <row r="123" spans="1:10" x14ac:dyDescent="0.3">
      <c r="A123" s="14" t="s">
        <v>99</v>
      </c>
      <c r="B123" s="6" t="s">
        <v>97</v>
      </c>
      <c r="C123" s="14" t="s">
        <v>67</v>
      </c>
      <c r="D123" s="6" t="s">
        <v>62</v>
      </c>
      <c r="E123" s="15">
        <v>1163.01</v>
      </c>
      <c r="F123" s="14">
        <v>5</v>
      </c>
      <c r="G123" s="16">
        <v>0</v>
      </c>
      <c r="H123" s="12">
        <v>45611</v>
      </c>
      <c r="I123" s="15">
        <v>581.5</v>
      </c>
      <c r="J123" s="13">
        <f t="shared" ca="1" si="3"/>
        <v>46108.667233912034</v>
      </c>
    </row>
    <row r="124" spans="1:10" x14ac:dyDescent="0.3">
      <c r="A124" s="8" t="s">
        <v>101</v>
      </c>
      <c r="B124" s="9" t="s">
        <v>92</v>
      </c>
      <c r="C124" s="8" t="s">
        <v>65</v>
      </c>
      <c r="D124" s="9" t="s">
        <v>86</v>
      </c>
      <c r="E124" s="10">
        <v>1014.56</v>
      </c>
      <c r="F124" s="8">
        <v>10</v>
      </c>
      <c r="G124" s="11">
        <v>0.1</v>
      </c>
      <c r="H124" s="12">
        <v>45612</v>
      </c>
      <c r="I124" s="10">
        <v>410.9</v>
      </c>
      <c r="J124" s="13">
        <f t="shared" ca="1" si="3"/>
        <v>46108.667233912034</v>
      </c>
    </row>
    <row r="125" spans="1:10" x14ac:dyDescent="0.3">
      <c r="A125" s="14" t="s">
        <v>56</v>
      </c>
      <c r="B125" s="6" t="s">
        <v>64</v>
      </c>
      <c r="C125" s="14" t="s">
        <v>67</v>
      </c>
      <c r="D125" s="6" t="s">
        <v>68</v>
      </c>
      <c r="E125" s="15">
        <v>718.04</v>
      </c>
      <c r="F125" s="14">
        <v>14</v>
      </c>
      <c r="G125" s="16">
        <v>0</v>
      </c>
      <c r="H125" s="12">
        <v>45613</v>
      </c>
      <c r="I125" s="15">
        <v>179.51</v>
      </c>
      <c r="J125" s="13">
        <f t="shared" ca="1" si="3"/>
        <v>46108.667233912034</v>
      </c>
    </row>
    <row r="126" spans="1:10" x14ac:dyDescent="0.3">
      <c r="A126" s="8" t="s">
        <v>119</v>
      </c>
      <c r="B126" s="9" t="s">
        <v>64</v>
      </c>
      <c r="C126" s="8" t="s">
        <v>81</v>
      </c>
      <c r="D126" s="9" t="s">
        <v>62</v>
      </c>
      <c r="E126" s="10">
        <v>1277.8499999999999</v>
      </c>
      <c r="F126" s="8">
        <v>18</v>
      </c>
      <c r="G126" s="11">
        <v>0.2</v>
      </c>
      <c r="H126" s="12">
        <v>45613</v>
      </c>
      <c r="I126" s="10">
        <v>511.14</v>
      </c>
      <c r="J126" s="13">
        <f t="shared" ca="1" si="3"/>
        <v>46108.667233912034</v>
      </c>
    </row>
    <row r="127" spans="1:10" x14ac:dyDescent="0.3">
      <c r="A127" s="14" t="s">
        <v>117</v>
      </c>
      <c r="B127" s="6" t="s">
        <v>70</v>
      </c>
      <c r="C127" s="14" t="s">
        <v>71</v>
      </c>
      <c r="D127" s="6" t="s">
        <v>68</v>
      </c>
      <c r="E127" s="15">
        <v>706.73</v>
      </c>
      <c r="F127" s="14">
        <v>1</v>
      </c>
      <c r="G127" s="16">
        <v>0.15</v>
      </c>
      <c r="H127" s="12">
        <v>45613</v>
      </c>
      <c r="I127" s="15">
        <v>150.18</v>
      </c>
      <c r="J127" s="13">
        <f t="shared" ca="1" si="3"/>
        <v>46108.667233912034</v>
      </c>
    </row>
    <row r="128" spans="1:10" x14ac:dyDescent="0.3">
      <c r="A128" s="8" t="s">
        <v>112</v>
      </c>
      <c r="B128" s="9" t="s">
        <v>97</v>
      </c>
      <c r="C128" s="8" t="s">
        <v>65</v>
      </c>
      <c r="D128" s="9" t="s">
        <v>68</v>
      </c>
      <c r="E128" s="10">
        <v>1410.59</v>
      </c>
      <c r="F128" s="8">
        <v>15</v>
      </c>
      <c r="G128" s="11">
        <v>0</v>
      </c>
      <c r="H128" s="12">
        <v>45615</v>
      </c>
      <c r="I128" s="10">
        <v>352.65</v>
      </c>
      <c r="J128" s="13">
        <f t="shared" ca="1" si="3"/>
        <v>46108.667233912034</v>
      </c>
    </row>
    <row r="129" spans="1:10" x14ac:dyDescent="0.3">
      <c r="A129" s="14" t="s">
        <v>79</v>
      </c>
      <c r="B129" s="6" t="s">
        <v>108</v>
      </c>
      <c r="C129" s="14" t="s">
        <v>67</v>
      </c>
      <c r="D129" s="6" t="s">
        <v>74</v>
      </c>
      <c r="E129" s="15">
        <v>1350.33</v>
      </c>
      <c r="F129" s="14">
        <v>10</v>
      </c>
      <c r="G129" s="16">
        <v>0</v>
      </c>
      <c r="H129" s="12">
        <v>45615</v>
      </c>
      <c r="I129" s="15">
        <v>472.62</v>
      </c>
      <c r="J129" s="13">
        <f t="shared" ca="1" si="3"/>
        <v>46108.667233912034</v>
      </c>
    </row>
    <row r="130" spans="1:10" x14ac:dyDescent="0.3">
      <c r="A130" s="8" t="s">
        <v>88</v>
      </c>
      <c r="B130" s="9" t="s">
        <v>92</v>
      </c>
      <c r="C130" s="8" t="s">
        <v>65</v>
      </c>
      <c r="D130" s="9" t="s">
        <v>68</v>
      </c>
      <c r="E130" s="10">
        <v>919.18</v>
      </c>
      <c r="F130" s="8">
        <v>4</v>
      </c>
      <c r="G130" s="11">
        <v>0.15</v>
      </c>
      <c r="H130" s="12">
        <v>45615</v>
      </c>
      <c r="I130" s="10">
        <v>195.33</v>
      </c>
      <c r="J130" s="13">
        <f t="shared" ref="J130:J161" ca="1" si="4">NOW()</f>
        <v>46108.667233912034</v>
      </c>
    </row>
    <row r="131" spans="1:10" x14ac:dyDescent="0.3">
      <c r="A131" s="14" t="s">
        <v>121</v>
      </c>
      <c r="B131" s="6" t="s">
        <v>70</v>
      </c>
      <c r="C131" s="14" t="s">
        <v>58</v>
      </c>
      <c r="D131" s="6" t="s">
        <v>68</v>
      </c>
      <c r="E131" s="15">
        <v>258.51</v>
      </c>
      <c r="F131" s="14">
        <v>19</v>
      </c>
      <c r="G131" s="16">
        <v>0</v>
      </c>
      <c r="H131" s="12">
        <v>45616</v>
      </c>
      <c r="I131" s="15">
        <v>64.63</v>
      </c>
      <c r="J131" s="13">
        <f t="shared" ca="1" si="4"/>
        <v>46108.667233912034</v>
      </c>
    </row>
    <row r="132" spans="1:10" x14ac:dyDescent="0.3">
      <c r="A132" s="8" t="s">
        <v>110</v>
      </c>
      <c r="B132" s="9" t="s">
        <v>108</v>
      </c>
      <c r="C132" s="8" t="s">
        <v>65</v>
      </c>
      <c r="D132" s="9" t="s">
        <v>59</v>
      </c>
      <c r="E132" s="10">
        <v>1213.48</v>
      </c>
      <c r="F132" s="8">
        <v>5</v>
      </c>
      <c r="G132" s="11">
        <v>0.05</v>
      </c>
      <c r="H132" s="12">
        <v>45616</v>
      </c>
      <c r="I132" s="10">
        <v>461.12</v>
      </c>
      <c r="J132" s="13">
        <f t="shared" ca="1" si="4"/>
        <v>46108.667233912034</v>
      </c>
    </row>
    <row r="133" spans="1:10" x14ac:dyDescent="0.3">
      <c r="A133" s="14" t="s">
        <v>104</v>
      </c>
      <c r="B133" s="6" t="s">
        <v>85</v>
      </c>
      <c r="C133" s="14" t="s">
        <v>81</v>
      </c>
      <c r="D133" s="6" t="s">
        <v>59</v>
      </c>
      <c r="E133" s="15">
        <v>1150.28</v>
      </c>
      <c r="F133" s="14">
        <v>8</v>
      </c>
      <c r="G133" s="16">
        <v>0.05</v>
      </c>
      <c r="H133" s="12">
        <v>45622</v>
      </c>
      <c r="I133" s="15">
        <v>437.11</v>
      </c>
      <c r="J133" s="13">
        <f t="shared" ca="1" si="4"/>
        <v>46108.667233912034</v>
      </c>
    </row>
    <row r="134" spans="1:10" x14ac:dyDescent="0.3">
      <c r="A134" s="8" t="s">
        <v>84</v>
      </c>
      <c r="B134" s="9" t="s">
        <v>118</v>
      </c>
      <c r="C134" s="8" t="s">
        <v>67</v>
      </c>
      <c r="D134" s="9" t="s">
        <v>74</v>
      </c>
      <c r="E134" s="10">
        <v>853.86</v>
      </c>
      <c r="F134" s="8">
        <v>8</v>
      </c>
      <c r="G134" s="11">
        <v>0.1</v>
      </c>
      <c r="H134" s="12">
        <v>45622</v>
      </c>
      <c r="I134" s="10">
        <v>268.97000000000003</v>
      </c>
      <c r="J134" s="13">
        <f t="shared" ca="1" si="4"/>
        <v>46108.667233912034</v>
      </c>
    </row>
    <row r="135" spans="1:10" x14ac:dyDescent="0.3">
      <c r="A135" s="14" t="s">
        <v>122</v>
      </c>
      <c r="B135" s="6" t="s">
        <v>92</v>
      </c>
      <c r="C135" s="14" t="s">
        <v>67</v>
      </c>
      <c r="D135" s="6" t="s">
        <v>68</v>
      </c>
      <c r="E135" s="15">
        <v>1061.04</v>
      </c>
      <c r="F135" s="14">
        <v>1</v>
      </c>
      <c r="G135" s="16">
        <v>0</v>
      </c>
      <c r="H135" s="12">
        <v>45624</v>
      </c>
      <c r="I135" s="15">
        <v>265.26</v>
      </c>
      <c r="J135" s="13">
        <f t="shared" ca="1" si="4"/>
        <v>46108.667233912034</v>
      </c>
    </row>
    <row r="136" spans="1:10" x14ac:dyDescent="0.3">
      <c r="A136" s="8" t="s">
        <v>75</v>
      </c>
      <c r="B136" s="9" t="s">
        <v>90</v>
      </c>
      <c r="C136" s="8" t="s">
        <v>58</v>
      </c>
      <c r="D136" s="9" t="s">
        <v>68</v>
      </c>
      <c r="E136" s="10">
        <v>894.55</v>
      </c>
      <c r="F136" s="8">
        <v>19</v>
      </c>
      <c r="G136" s="11">
        <v>0.2</v>
      </c>
      <c r="H136" s="12">
        <v>45625</v>
      </c>
      <c r="I136" s="10">
        <v>178.91</v>
      </c>
      <c r="J136" s="13">
        <f t="shared" ca="1" si="4"/>
        <v>46108.667233912034</v>
      </c>
    </row>
    <row r="137" spans="1:10" x14ac:dyDescent="0.3">
      <c r="A137" s="14" t="s">
        <v>72</v>
      </c>
      <c r="B137" s="6" t="s">
        <v>85</v>
      </c>
      <c r="C137" s="14" t="s">
        <v>71</v>
      </c>
      <c r="D137" s="6" t="s">
        <v>86</v>
      </c>
      <c r="E137" s="15">
        <v>833.91</v>
      </c>
      <c r="F137" s="14">
        <v>3</v>
      </c>
      <c r="G137" s="16">
        <v>0.05</v>
      </c>
      <c r="H137" s="12">
        <v>45626</v>
      </c>
      <c r="I137" s="15">
        <v>356.5</v>
      </c>
      <c r="J137" s="13">
        <f t="shared" ca="1" si="4"/>
        <v>46108.667233912034</v>
      </c>
    </row>
    <row r="138" spans="1:10" x14ac:dyDescent="0.3">
      <c r="A138" s="8" t="s">
        <v>105</v>
      </c>
      <c r="B138" s="9" t="s">
        <v>118</v>
      </c>
      <c r="C138" s="8" t="s">
        <v>58</v>
      </c>
      <c r="D138" s="9" t="s">
        <v>74</v>
      </c>
      <c r="E138" s="10">
        <v>820.19</v>
      </c>
      <c r="F138" s="8">
        <v>4</v>
      </c>
      <c r="G138" s="11">
        <v>0.2</v>
      </c>
      <c r="H138" s="12">
        <v>45630</v>
      </c>
      <c r="I138" s="10">
        <v>229.65</v>
      </c>
      <c r="J138" s="13">
        <f t="shared" ca="1" si="4"/>
        <v>46108.667233912034</v>
      </c>
    </row>
    <row r="139" spans="1:10" x14ac:dyDescent="0.3">
      <c r="A139" s="14" t="s">
        <v>105</v>
      </c>
      <c r="B139" s="6" t="s">
        <v>85</v>
      </c>
      <c r="C139" s="14" t="s">
        <v>81</v>
      </c>
      <c r="D139" s="6" t="s">
        <v>68</v>
      </c>
      <c r="E139" s="15">
        <v>511.74</v>
      </c>
      <c r="F139" s="14">
        <v>8</v>
      </c>
      <c r="G139" s="16">
        <v>0.05</v>
      </c>
      <c r="H139" s="12">
        <v>45631</v>
      </c>
      <c r="I139" s="15">
        <v>121.54</v>
      </c>
      <c r="J139" s="13">
        <f t="shared" ca="1" si="4"/>
        <v>46108.667233912034</v>
      </c>
    </row>
    <row r="140" spans="1:10" x14ac:dyDescent="0.3">
      <c r="A140" s="8" t="s">
        <v>112</v>
      </c>
      <c r="B140" s="9" t="s">
        <v>108</v>
      </c>
      <c r="C140" s="8" t="s">
        <v>67</v>
      </c>
      <c r="D140" s="9" t="s">
        <v>74</v>
      </c>
      <c r="E140" s="10">
        <v>806.03</v>
      </c>
      <c r="F140" s="8">
        <v>19</v>
      </c>
      <c r="G140" s="11">
        <v>0.05</v>
      </c>
      <c r="H140" s="12">
        <v>45638</v>
      </c>
      <c r="I140" s="10">
        <v>268</v>
      </c>
      <c r="J140" s="13">
        <f t="shared" ca="1" si="4"/>
        <v>46108.667233912034</v>
      </c>
    </row>
    <row r="141" spans="1:10" x14ac:dyDescent="0.3">
      <c r="A141" s="14" t="s">
        <v>75</v>
      </c>
      <c r="B141" s="6" t="s">
        <v>73</v>
      </c>
      <c r="C141" s="14" t="s">
        <v>81</v>
      </c>
      <c r="D141" s="6" t="s">
        <v>74</v>
      </c>
      <c r="E141" s="15">
        <v>1432.47</v>
      </c>
      <c r="F141" s="14">
        <v>16</v>
      </c>
      <c r="G141" s="16">
        <v>0.15</v>
      </c>
      <c r="H141" s="12">
        <v>45640</v>
      </c>
      <c r="I141" s="15">
        <v>426.16</v>
      </c>
      <c r="J141" s="13">
        <f t="shared" ca="1" si="4"/>
        <v>46108.667233912034</v>
      </c>
    </row>
    <row r="142" spans="1:10" x14ac:dyDescent="0.3">
      <c r="A142" s="8" t="s">
        <v>121</v>
      </c>
      <c r="B142" s="9" t="s">
        <v>76</v>
      </c>
      <c r="C142" s="8" t="s">
        <v>81</v>
      </c>
      <c r="D142" s="9" t="s">
        <v>68</v>
      </c>
      <c r="E142" s="10">
        <v>1488.58</v>
      </c>
      <c r="F142" s="8">
        <v>10</v>
      </c>
      <c r="G142" s="11">
        <v>0.15</v>
      </c>
      <c r="H142" s="12">
        <v>45640</v>
      </c>
      <c r="I142" s="10">
        <v>316.32</v>
      </c>
      <c r="J142" s="13">
        <f t="shared" ca="1" si="4"/>
        <v>46108.667233912034</v>
      </c>
    </row>
    <row r="143" spans="1:10" x14ac:dyDescent="0.3">
      <c r="A143" s="14" t="s">
        <v>77</v>
      </c>
      <c r="B143" s="6" t="s">
        <v>113</v>
      </c>
      <c r="C143" s="14" t="s">
        <v>65</v>
      </c>
      <c r="D143" s="6" t="s">
        <v>59</v>
      </c>
      <c r="E143" s="15">
        <v>1231.26</v>
      </c>
      <c r="F143" s="14">
        <v>9</v>
      </c>
      <c r="G143" s="16">
        <v>0</v>
      </c>
      <c r="H143" s="12">
        <v>45646</v>
      </c>
      <c r="I143" s="15">
        <v>492.5</v>
      </c>
      <c r="J143" s="13">
        <f t="shared" ca="1" si="4"/>
        <v>46108.667233912034</v>
      </c>
    </row>
    <row r="144" spans="1:10" x14ac:dyDescent="0.3">
      <c r="A144" s="8" t="s">
        <v>77</v>
      </c>
      <c r="B144" s="9" t="s">
        <v>90</v>
      </c>
      <c r="C144" s="8" t="s">
        <v>58</v>
      </c>
      <c r="D144" s="9" t="s">
        <v>68</v>
      </c>
      <c r="E144" s="10">
        <v>1161.67</v>
      </c>
      <c r="F144" s="8">
        <v>19</v>
      </c>
      <c r="G144" s="11">
        <v>0.2</v>
      </c>
      <c r="H144" s="12">
        <v>45647</v>
      </c>
      <c r="I144" s="10">
        <v>232.33</v>
      </c>
      <c r="J144" s="13">
        <f t="shared" ca="1" si="4"/>
        <v>46108.667233912034</v>
      </c>
    </row>
    <row r="145" spans="1:10" x14ac:dyDescent="0.3">
      <c r="A145" s="14" t="s">
        <v>96</v>
      </c>
      <c r="B145" s="6" t="s">
        <v>92</v>
      </c>
      <c r="C145" s="14" t="s">
        <v>81</v>
      </c>
      <c r="D145" s="6" t="s">
        <v>86</v>
      </c>
      <c r="E145" s="15">
        <v>388.23</v>
      </c>
      <c r="F145" s="14">
        <v>16</v>
      </c>
      <c r="G145" s="16">
        <v>0.05</v>
      </c>
      <c r="H145" s="12">
        <v>45650</v>
      </c>
      <c r="I145" s="15">
        <v>165.97</v>
      </c>
      <c r="J145" s="13">
        <f t="shared" ca="1" si="4"/>
        <v>46108.667233912034</v>
      </c>
    </row>
    <row r="146" spans="1:10" x14ac:dyDescent="0.3">
      <c r="A146" s="8" t="s">
        <v>119</v>
      </c>
      <c r="B146" s="9" t="s">
        <v>78</v>
      </c>
      <c r="C146" s="8" t="s">
        <v>71</v>
      </c>
      <c r="D146" s="9" t="s">
        <v>62</v>
      </c>
      <c r="E146" s="10">
        <v>1589.42</v>
      </c>
      <c r="F146" s="8">
        <v>6</v>
      </c>
      <c r="G146" s="11">
        <v>0.15</v>
      </c>
      <c r="H146" s="12">
        <v>45651</v>
      </c>
      <c r="I146" s="10">
        <v>675.5</v>
      </c>
      <c r="J146" s="13">
        <f t="shared" ca="1" si="4"/>
        <v>46108.667233912034</v>
      </c>
    </row>
    <row r="147" spans="1:10" x14ac:dyDescent="0.3">
      <c r="A147" s="14" t="s">
        <v>75</v>
      </c>
      <c r="B147" s="6" t="s">
        <v>118</v>
      </c>
      <c r="C147" s="14" t="s">
        <v>71</v>
      </c>
      <c r="D147" s="6" t="s">
        <v>62</v>
      </c>
      <c r="E147" s="15">
        <v>336.66</v>
      </c>
      <c r="F147" s="14">
        <v>13</v>
      </c>
      <c r="G147" s="16">
        <v>0.2</v>
      </c>
      <c r="H147" s="12">
        <v>45651</v>
      </c>
      <c r="I147" s="15">
        <v>134.66</v>
      </c>
      <c r="J147" s="13">
        <f t="shared" ca="1" si="4"/>
        <v>46108.667233912034</v>
      </c>
    </row>
    <row r="148" spans="1:10" x14ac:dyDescent="0.3">
      <c r="A148" s="8" t="s">
        <v>96</v>
      </c>
      <c r="B148" s="9" t="s">
        <v>70</v>
      </c>
      <c r="C148" s="8" t="s">
        <v>58</v>
      </c>
      <c r="D148" s="9" t="s">
        <v>59</v>
      </c>
      <c r="E148" s="10">
        <v>1353.79</v>
      </c>
      <c r="F148" s="8">
        <v>14</v>
      </c>
      <c r="G148" s="11">
        <v>0.1</v>
      </c>
      <c r="H148" s="12">
        <v>45656</v>
      </c>
      <c r="I148" s="10">
        <v>487.36</v>
      </c>
      <c r="J148" s="13">
        <f t="shared" ca="1" si="4"/>
        <v>46108.667233912034</v>
      </c>
    </row>
    <row r="149" spans="1:10" x14ac:dyDescent="0.3">
      <c r="A149" s="14" t="s">
        <v>110</v>
      </c>
      <c r="B149" s="6" t="s">
        <v>116</v>
      </c>
      <c r="C149" s="14" t="s">
        <v>81</v>
      </c>
      <c r="D149" s="6" t="s">
        <v>62</v>
      </c>
      <c r="E149" s="15">
        <v>662.61</v>
      </c>
      <c r="F149" s="14">
        <v>11</v>
      </c>
      <c r="G149" s="16">
        <v>0.05</v>
      </c>
      <c r="H149" s="12">
        <v>45658</v>
      </c>
      <c r="I149" s="15">
        <v>314.74</v>
      </c>
      <c r="J149" s="13">
        <f t="shared" ca="1" si="4"/>
        <v>46108.667233912034</v>
      </c>
    </row>
    <row r="150" spans="1:10" x14ac:dyDescent="0.3">
      <c r="A150" s="8" t="s">
        <v>99</v>
      </c>
      <c r="B150" s="9" t="s">
        <v>95</v>
      </c>
      <c r="C150" s="8" t="s">
        <v>71</v>
      </c>
      <c r="D150" s="9" t="s">
        <v>86</v>
      </c>
      <c r="E150" s="10">
        <v>309.42</v>
      </c>
      <c r="F150" s="8">
        <v>1</v>
      </c>
      <c r="G150" s="11">
        <v>0.2</v>
      </c>
      <c r="H150" s="12">
        <v>45658</v>
      </c>
      <c r="I150" s="10">
        <v>111.39</v>
      </c>
      <c r="J150" s="13">
        <f t="shared" ca="1" si="4"/>
        <v>46108.667233912034</v>
      </c>
    </row>
    <row r="151" spans="1:10" x14ac:dyDescent="0.3">
      <c r="A151" s="14" t="s">
        <v>110</v>
      </c>
      <c r="B151" s="6" t="s">
        <v>76</v>
      </c>
      <c r="C151" s="14" t="s">
        <v>71</v>
      </c>
      <c r="D151" s="6" t="s">
        <v>59</v>
      </c>
      <c r="E151" s="15">
        <v>884.63</v>
      </c>
      <c r="F151" s="14">
        <v>18</v>
      </c>
      <c r="G151" s="16">
        <v>0.1</v>
      </c>
      <c r="H151" s="12">
        <v>45659</v>
      </c>
      <c r="I151" s="15">
        <v>318.47000000000003</v>
      </c>
      <c r="J151" s="13">
        <f t="shared" ca="1" si="4"/>
        <v>46108.667233912034</v>
      </c>
    </row>
    <row r="152" spans="1:10" x14ac:dyDescent="0.3">
      <c r="A152" s="8" t="s">
        <v>99</v>
      </c>
      <c r="B152" s="9" t="s">
        <v>70</v>
      </c>
      <c r="C152" s="8" t="s">
        <v>81</v>
      </c>
      <c r="D152" s="9" t="s">
        <v>86</v>
      </c>
      <c r="E152" s="10">
        <v>745.05</v>
      </c>
      <c r="F152" s="8">
        <v>10</v>
      </c>
      <c r="G152" s="11">
        <v>0.1</v>
      </c>
      <c r="H152" s="12">
        <v>45660</v>
      </c>
      <c r="I152" s="10">
        <v>301.75</v>
      </c>
      <c r="J152" s="13">
        <f t="shared" ca="1" si="4"/>
        <v>46108.667233912034</v>
      </c>
    </row>
    <row r="153" spans="1:10" x14ac:dyDescent="0.3">
      <c r="A153" s="14" t="s">
        <v>107</v>
      </c>
      <c r="B153" s="6" t="s">
        <v>64</v>
      </c>
      <c r="C153" s="14" t="s">
        <v>67</v>
      </c>
      <c r="D153" s="6" t="s">
        <v>62</v>
      </c>
      <c r="E153" s="15">
        <v>870.23</v>
      </c>
      <c r="F153" s="14">
        <v>5</v>
      </c>
      <c r="G153" s="16">
        <v>0.05</v>
      </c>
      <c r="H153" s="12">
        <v>45660</v>
      </c>
      <c r="I153" s="15">
        <v>413.36</v>
      </c>
      <c r="J153" s="13">
        <f t="shared" ca="1" si="4"/>
        <v>46108.667233912034</v>
      </c>
    </row>
    <row r="154" spans="1:10" x14ac:dyDescent="0.3">
      <c r="A154" s="8" t="s">
        <v>82</v>
      </c>
      <c r="B154" s="9" t="s">
        <v>76</v>
      </c>
      <c r="C154" s="8" t="s">
        <v>58</v>
      </c>
      <c r="D154" s="9" t="s">
        <v>74</v>
      </c>
      <c r="E154" s="10">
        <v>862.19</v>
      </c>
      <c r="F154" s="8">
        <v>18</v>
      </c>
      <c r="G154" s="11">
        <v>0.05</v>
      </c>
      <c r="H154" s="12">
        <v>45663</v>
      </c>
      <c r="I154" s="10">
        <v>286.68</v>
      </c>
      <c r="J154" s="13">
        <f t="shared" ca="1" si="4"/>
        <v>46108.667233912034</v>
      </c>
    </row>
    <row r="155" spans="1:10" x14ac:dyDescent="0.3">
      <c r="A155" s="14" t="s">
        <v>120</v>
      </c>
      <c r="B155" s="6" t="s">
        <v>106</v>
      </c>
      <c r="C155" s="14" t="s">
        <v>71</v>
      </c>
      <c r="D155" s="6" t="s">
        <v>62</v>
      </c>
      <c r="E155" s="15">
        <v>1171.18</v>
      </c>
      <c r="F155" s="14">
        <v>19</v>
      </c>
      <c r="G155" s="16">
        <v>0.05</v>
      </c>
      <c r="H155" s="12">
        <v>45667</v>
      </c>
      <c r="I155" s="15">
        <v>556.30999999999995</v>
      </c>
      <c r="J155" s="13">
        <f t="shared" ca="1" si="4"/>
        <v>46108.667233912034</v>
      </c>
    </row>
    <row r="156" spans="1:10" x14ac:dyDescent="0.3">
      <c r="A156" s="8" t="s">
        <v>105</v>
      </c>
      <c r="B156" s="9" t="s">
        <v>61</v>
      </c>
      <c r="C156" s="8" t="s">
        <v>67</v>
      </c>
      <c r="D156" s="9" t="s">
        <v>74</v>
      </c>
      <c r="E156" s="10">
        <v>1054.56</v>
      </c>
      <c r="F156" s="8">
        <v>11</v>
      </c>
      <c r="G156" s="11">
        <v>0.1</v>
      </c>
      <c r="H156" s="12">
        <v>45669</v>
      </c>
      <c r="I156" s="10">
        <v>332.19</v>
      </c>
      <c r="J156" s="13">
        <f t="shared" ca="1" si="4"/>
        <v>46108.667233912034</v>
      </c>
    </row>
    <row r="157" spans="1:10" x14ac:dyDescent="0.3">
      <c r="A157" s="14" t="s">
        <v>105</v>
      </c>
      <c r="B157" s="6" t="s">
        <v>70</v>
      </c>
      <c r="C157" s="14" t="s">
        <v>71</v>
      </c>
      <c r="D157" s="6" t="s">
        <v>68</v>
      </c>
      <c r="E157" s="15">
        <v>1681.21</v>
      </c>
      <c r="F157" s="14">
        <v>5</v>
      </c>
      <c r="G157" s="16">
        <v>0.2</v>
      </c>
      <c r="H157" s="12">
        <v>45670</v>
      </c>
      <c r="I157" s="15">
        <v>336.24</v>
      </c>
      <c r="J157" s="13">
        <f t="shared" ca="1" si="4"/>
        <v>46108.667233912034</v>
      </c>
    </row>
    <row r="158" spans="1:10" x14ac:dyDescent="0.3">
      <c r="A158" s="8" t="s">
        <v>105</v>
      </c>
      <c r="B158" s="9" t="s">
        <v>83</v>
      </c>
      <c r="C158" s="8" t="s">
        <v>58</v>
      </c>
      <c r="D158" s="9" t="s">
        <v>62</v>
      </c>
      <c r="E158" s="10">
        <v>379.77</v>
      </c>
      <c r="F158" s="8">
        <v>9</v>
      </c>
      <c r="G158" s="11">
        <v>0.05</v>
      </c>
      <c r="H158" s="12">
        <v>45673</v>
      </c>
      <c r="I158" s="10">
        <v>180.39</v>
      </c>
      <c r="J158" s="13">
        <f t="shared" ca="1" si="4"/>
        <v>46108.667233912034</v>
      </c>
    </row>
    <row r="159" spans="1:10" x14ac:dyDescent="0.3">
      <c r="A159" s="14" t="s">
        <v>91</v>
      </c>
      <c r="B159" s="6" t="s">
        <v>92</v>
      </c>
      <c r="C159" s="14" t="s">
        <v>81</v>
      </c>
      <c r="D159" s="6" t="s">
        <v>62</v>
      </c>
      <c r="E159" s="15">
        <v>1076.33</v>
      </c>
      <c r="F159" s="14">
        <v>2</v>
      </c>
      <c r="G159" s="16">
        <v>0.1</v>
      </c>
      <c r="H159" s="12">
        <v>45674</v>
      </c>
      <c r="I159" s="15">
        <v>484.35</v>
      </c>
      <c r="J159" s="13">
        <f t="shared" ca="1" si="4"/>
        <v>46108.667233912034</v>
      </c>
    </row>
    <row r="160" spans="1:10" x14ac:dyDescent="0.3">
      <c r="A160" s="8" t="s">
        <v>91</v>
      </c>
      <c r="B160" s="9" t="s">
        <v>78</v>
      </c>
      <c r="C160" s="8" t="s">
        <v>81</v>
      </c>
      <c r="D160" s="9" t="s">
        <v>86</v>
      </c>
      <c r="E160" s="10">
        <v>1250.71</v>
      </c>
      <c r="F160" s="8">
        <v>7</v>
      </c>
      <c r="G160" s="11">
        <v>0</v>
      </c>
      <c r="H160" s="12">
        <v>45674</v>
      </c>
      <c r="I160" s="10">
        <v>562.82000000000005</v>
      </c>
      <c r="J160" s="13">
        <f t="shared" ca="1" si="4"/>
        <v>46108.667233912034</v>
      </c>
    </row>
    <row r="161" spans="1:10" x14ac:dyDescent="0.3">
      <c r="A161" s="14" t="s">
        <v>87</v>
      </c>
      <c r="B161" s="6" t="s">
        <v>64</v>
      </c>
      <c r="C161" s="14" t="s">
        <v>67</v>
      </c>
      <c r="D161" s="6" t="s">
        <v>62</v>
      </c>
      <c r="E161" s="15">
        <v>1118.3399999999999</v>
      </c>
      <c r="F161" s="14">
        <v>6</v>
      </c>
      <c r="G161" s="16">
        <v>0.2</v>
      </c>
      <c r="H161" s="12">
        <v>45674</v>
      </c>
      <c r="I161" s="15">
        <v>447.34</v>
      </c>
      <c r="J161" s="13">
        <f t="shared" ca="1" si="4"/>
        <v>46108.667233912034</v>
      </c>
    </row>
    <row r="162" spans="1:10" x14ac:dyDescent="0.3">
      <c r="A162" s="8" t="s">
        <v>117</v>
      </c>
      <c r="B162" s="9" t="s">
        <v>100</v>
      </c>
      <c r="C162" s="8" t="s">
        <v>71</v>
      </c>
      <c r="D162" s="9" t="s">
        <v>62</v>
      </c>
      <c r="E162" s="10">
        <v>1622.62</v>
      </c>
      <c r="F162" s="8">
        <v>12</v>
      </c>
      <c r="G162" s="11">
        <v>0.2</v>
      </c>
      <c r="H162" s="12">
        <v>45677</v>
      </c>
      <c r="I162" s="10">
        <v>649.04999999999995</v>
      </c>
      <c r="J162" s="13">
        <f t="shared" ref="J162:J193" ca="1" si="5">NOW()</f>
        <v>46108.667233912034</v>
      </c>
    </row>
    <row r="163" spans="1:10" x14ac:dyDescent="0.3">
      <c r="A163" s="14" t="s">
        <v>122</v>
      </c>
      <c r="B163" s="6" t="s">
        <v>95</v>
      </c>
      <c r="C163" s="14" t="s">
        <v>71</v>
      </c>
      <c r="D163" s="6" t="s">
        <v>59</v>
      </c>
      <c r="E163" s="15">
        <v>640.64</v>
      </c>
      <c r="F163" s="14">
        <v>11</v>
      </c>
      <c r="G163" s="16">
        <v>0.2</v>
      </c>
      <c r="H163" s="12">
        <v>45678</v>
      </c>
      <c r="I163" s="15">
        <v>205</v>
      </c>
      <c r="J163" s="13">
        <f t="shared" ca="1" si="5"/>
        <v>46108.667233912034</v>
      </c>
    </row>
    <row r="164" spans="1:10" x14ac:dyDescent="0.3">
      <c r="A164" s="8" t="s">
        <v>69</v>
      </c>
      <c r="B164" s="9" t="s">
        <v>90</v>
      </c>
      <c r="C164" s="8" t="s">
        <v>58</v>
      </c>
      <c r="D164" s="9" t="s">
        <v>62</v>
      </c>
      <c r="E164" s="10">
        <v>585.16</v>
      </c>
      <c r="F164" s="8">
        <v>17</v>
      </c>
      <c r="G164" s="11">
        <v>0.1</v>
      </c>
      <c r="H164" s="12">
        <v>45684</v>
      </c>
      <c r="I164" s="10">
        <v>263.32</v>
      </c>
      <c r="J164" s="13">
        <f t="shared" ca="1" si="5"/>
        <v>46108.667233912034</v>
      </c>
    </row>
    <row r="165" spans="1:10" x14ac:dyDescent="0.3">
      <c r="A165" s="14" t="s">
        <v>69</v>
      </c>
      <c r="B165" s="6" t="s">
        <v>78</v>
      </c>
      <c r="C165" s="14" t="s">
        <v>65</v>
      </c>
      <c r="D165" s="6" t="s">
        <v>62</v>
      </c>
      <c r="E165" s="15">
        <v>1109.98</v>
      </c>
      <c r="F165" s="14">
        <v>5</v>
      </c>
      <c r="G165" s="16">
        <v>0.2</v>
      </c>
      <c r="H165" s="12">
        <v>45690</v>
      </c>
      <c r="I165" s="15">
        <v>443.99</v>
      </c>
      <c r="J165" s="13">
        <f t="shared" ca="1" si="5"/>
        <v>46108.667233912034</v>
      </c>
    </row>
    <row r="166" spans="1:10" x14ac:dyDescent="0.3">
      <c r="A166" s="8" t="s">
        <v>105</v>
      </c>
      <c r="B166" s="9" t="s">
        <v>92</v>
      </c>
      <c r="C166" s="8" t="s">
        <v>65</v>
      </c>
      <c r="D166" s="9" t="s">
        <v>59</v>
      </c>
      <c r="E166" s="10">
        <v>1098.08</v>
      </c>
      <c r="F166" s="8">
        <v>9</v>
      </c>
      <c r="G166" s="11">
        <v>0.1</v>
      </c>
      <c r="H166" s="12">
        <v>45692</v>
      </c>
      <c r="I166" s="10">
        <v>395.31</v>
      </c>
      <c r="J166" s="13">
        <f t="shared" ca="1" si="5"/>
        <v>46108.667233912034</v>
      </c>
    </row>
    <row r="167" spans="1:10" x14ac:dyDescent="0.3">
      <c r="A167" s="14" t="s">
        <v>112</v>
      </c>
      <c r="B167" s="6" t="s">
        <v>95</v>
      </c>
      <c r="C167" s="14" t="s">
        <v>58</v>
      </c>
      <c r="D167" s="6" t="s">
        <v>86</v>
      </c>
      <c r="E167" s="15">
        <v>827.25</v>
      </c>
      <c r="F167" s="14">
        <v>7</v>
      </c>
      <c r="G167" s="16">
        <v>0.1</v>
      </c>
      <c r="H167" s="12">
        <v>45693</v>
      </c>
      <c r="I167" s="15">
        <v>335.04</v>
      </c>
      <c r="J167" s="13">
        <f t="shared" ca="1" si="5"/>
        <v>46108.667233912034</v>
      </c>
    </row>
    <row r="168" spans="1:10" x14ac:dyDescent="0.3">
      <c r="A168" s="8" t="s">
        <v>117</v>
      </c>
      <c r="B168" s="9" t="s">
        <v>76</v>
      </c>
      <c r="C168" s="8" t="s">
        <v>81</v>
      </c>
      <c r="D168" s="9" t="s">
        <v>62</v>
      </c>
      <c r="E168" s="10">
        <v>741.88</v>
      </c>
      <c r="F168" s="8">
        <v>16</v>
      </c>
      <c r="G168" s="11">
        <v>0.1</v>
      </c>
      <c r="H168" s="12">
        <v>45695</v>
      </c>
      <c r="I168" s="10">
        <v>333.85</v>
      </c>
      <c r="J168" s="13">
        <f t="shared" ca="1" si="5"/>
        <v>46108.667233912034</v>
      </c>
    </row>
    <row r="169" spans="1:10" x14ac:dyDescent="0.3">
      <c r="A169" s="14" t="s">
        <v>119</v>
      </c>
      <c r="B169" s="6" t="s">
        <v>57</v>
      </c>
      <c r="C169" s="14" t="s">
        <v>65</v>
      </c>
      <c r="D169" s="6" t="s">
        <v>86</v>
      </c>
      <c r="E169" s="15">
        <v>1311.26</v>
      </c>
      <c r="F169" s="14">
        <v>6</v>
      </c>
      <c r="G169" s="16">
        <v>0.1</v>
      </c>
      <c r="H169" s="12">
        <v>45698</v>
      </c>
      <c r="I169" s="15">
        <v>531.05999999999995</v>
      </c>
      <c r="J169" s="13">
        <f t="shared" ca="1" si="5"/>
        <v>46108.667233912034</v>
      </c>
    </row>
    <row r="170" spans="1:10" x14ac:dyDescent="0.3">
      <c r="A170" s="8" t="s">
        <v>119</v>
      </c>
      <c r="B170" s="9" t="s">
        <v>78</v>
      </c>
      <c r="C170" s="8" t="s">
        <v>67</v>
      </c>
      <c r="D170" s="9" t="s">
        <v>86</v>
      </c>
      <c r="E170" s="10">
        <v>573.32000000000005</v>
      </c>
      <c r="F170" s="8">
        <v>19</v>
      </c>
      <c r="G170" s="11">
        <v>0.1</v>
      </c>
      <c r="H170" s="12">
        <v>45703</v>
      </c>
      <c r="I170" s="10">
        <v>232.19</v>
      </c>
      <c r="J170" s="13">
        <f t="shared" ca="1" si="5"/>
        <v>46108.667233912034</v>
      </c>
    </row>
    <row r="171" spans="1:10" x14ac:dyDescent="0.3">
      <c r="A171" s="14" t="s">
        <v>99</v>
      </c>
      <c r="B171" s="6" t="s">
        <v>70</v>
      </c>
      <c r="C171" s="14" t="s">
        <v>58</v>
      </c>
      <c r="D171" s="6" t="s">
        <v>68</v>
      </c>
      <c r="E171" s="15">
        <v>1115.22</v>
      </c>
      <c r="F171" s="14">
        <v>14</v>
      </c>
      <c r="G171" s="16">
        <v>0.2</v>
      </c>
      <c r="H171" s="12">
        <v>45705</v>
      </c>
      <c r="I171" s="15">
        <v>223.04</v>
      </c>
      <c r="J171" s="13">
        <f t="shared" ca="1" si="5"/>
        <v>46108.667233912034</v>
      </c>
    </row>
    <row r="172" spans="1:10" x14ac:dyDescent="0.3">
      <c r="A172" s="8" t="s">
        <v>60</v>
      </c>
      <c r="B172" s="9" t="s">
        <v>92</v>
      </c>
      <c r="C172" s="8" t="s">
        <v>71</v>
      </c>
      <c r="D172" s="9" t="s">
        <v>62</v>
      </c>
      <c r="E172" s="10">
        <v>845.84</v>
      </c>
      <c r="F172" s="8">
        <v>4</v>
      </c>
      <c r="G172" s="11">
        <v>0</v>
      </c>
      <c r="H172" s="12">
        <v>45707</v>
      </c>
      <c r="I172" s="10">
        <v>422.92</v>
      </c>
      <c r="J172" s="13">
        <f t="shared" ca="1" si="5"/>
        <v>46108.667233912034</v>
      </c>
    </row>
    <row r="173" spans="1:10" x14ac:dyDescent="0.3">
      <c r="A173" s="14" t="s">
        <v>77</v>
      </c>
      <c r="B173" s="6" t="s">
        <v>102</v>
      </c>
      <c r="C173" s="14" t="s">
        <v>58</v>
      </c>
      <c r="D173" s="6" t="s">
        <v>68</v>
      </c>
      <c r="E173" s="15">
        <v>1029.8</v>
      </c>
      <c r="F173" s="14">
        <v>3</v>
      </c>
      <c r="G173" s="16">
        <v>0</v>
      </c>
      <c r="H173" s="12">
        <v>45708</v>
      </c>
      <c r="I173" s="15">
        <v>257.45</v>
      </c>
      <c r="J173" s="13">
        <f t="shared" ca="1" si="5"/>
        <v>46108.667233912034</v>
      </c>
    </row>
    <row r="174" spans="1:10" x14ac:dyDescent="0.3">
      <c r="A174" s="8" t="s">
        <v>79</v>
      </c>
      <c r="B174" s="9" t="s">
        <v>78</v>
      </c>
      <c r="C174" s="8" t="s">
        <v>71</v>
      </c>
      <c r="D174" s="9" t="s">
        <v>59</v>
      </c>
      <c r="E174" s="10">
        <v>1189.83</v>
      </c>
      <c r="F174" s="8">
        <v>2</v>
      </c>
      <c r="G174" s="11">
        <v>0.2</v>
      </c>
      <c r="H174" s="12">
        <v>45709</v>
      </c>
      <c r="I174" s="10">
        <v>380.75</v>
      </c>
      <c r="J174" s="13">
        <f t="shared" ca="1" si="5"/>
        <v>46108.667233912034</v>
      </c>
    </row>
    <row r="175" spans="1:10" x14ac:dyDescent="0.3">
      <c r="A175" s="14" t="s">
        <v>114</v>
      </c>
      <c r="B175" s="6" t="s">
        <v>90</v>
      </c>
      <c r="C175" s="14" t="s">
        <v>67</v>
      </c>
      <c r="D175" s="6" t="s">
        <v>59</v>
      </c>
      <c r="E175" s="15">
        <v>704.28</v>
      </c>
      <c r="F175" s="14">
        <v>15</v>
      </c>
      <c r="G175" s="16">
        <v>0.2</v>
      </c>
      <c r="H175" s="12">
        <v>45712</v>
      </c>
      <c r="I175" s="15">
        <v>225.37</v>
      </c>
      <c r="J175" s="13">
        <f t="shared" ca="1" si="5"/>
        <v>46108.667233912034</v>
      </c>
    </row>
    <row r="176" spans="1:10" x14ac:dyDescent="0.3">
      <c r="A176" s="8" t="s">
        <v>112</v>
      </c>
      <c r="B176" s="9" t="s">
        <v>94</v>
      </c>
      <c r="C176" s="8" t="s">
        <v>81</v>
      </c>
      <c r="D176" s="9" t="s">
        <v>86</v>
      </c>
      <c r="E176" s="10">
        <v>1618.22</v>
      </c>
      <c r="F176" s="8">
        <v>12</v>
      </c>
      <c r="G176" s="11">
        <v>0.2</v>
      </c>
      <c r="H176" s="12">
        <v>45712</v>
      </c>
      <c r="I176" s="10">
        <v>582.55999999999995</v>
      </c>
      <c r="J176" s="13">
        <f t="shared" ca="1" si="5"/>
        <v>46108.667233912034</v>
      </c>
    </row>
    <row r="177" spans="1:10" x14ac:dyDescent="0.3">
      <c r="A177" s="14" t="s">
        <v>120</v>
      </c>
      <c r="B177" s="6" t="s">
        <v>100</v>
      </c>
      <c r="C177" s="14" t="s">
        <v>81</v>
      </c>
      <c r="D177" s="6" t="s">
        <v>59</v>
      </c>
      <c r="E177" s="15">
        <v>1014.43</v>
      </c>
      <c r="F177" s="14">
        <v>2</v>
      </c>
      <c r="G177" s="16">
        <v>0.15</v>
      </c>
      <c r="H177" s="12">
        <v>45713</v>
      </c>
      <c r="I177" s="15">
        <v>344.91</v>
      </c>
      <c r="J177" s="13">
        <f t="shared" ca="1" si="5"/>
        <v>46108.667233912034</v>
      </c>
    </row>
    <row r="178" spans="1:10" x14ac:dyDescent="0.3">
      <c r="A178" s="8" t="s">
        <v>122</v>
      </c>
      <c r="B178" s="9" t="s">
        <v>78</v>
      </c>
      <c r="C178" s="8" t="s">
        <v>81</v>
      </c>
      <c r="D178" s="9" t="s">
        <v>62</v>
      </c>
      <c r="E178" s="10">
        <v>826.97</v>
      </c>
      <c r="F178" s="8">
        <v>18</v>
      </c>
      <c r="G178" s="11">
        <v>0.2</v>
      </c>
      <c r="H178" s="12">
        <v>45715</v>
      </c>
      <c r="I178" s="10">
        <v>330.79</v>
      </c>
      <c r="J178" s="13">
        <f t="shared" ca="1" si="5"/>
        <v>46108.667233912034</v>
      </c>
    </row>
    <row r="179" spans="1:10" x14ac:dyDescent="0.3">
      <c r="A179" s="14" t="s">
        <v>63</v>
      </c>
      <c r="B179" s="6" t="s">
        <v>78</v>
      </c>
      <c r="C179" s="14" t="s">
        <v>81</v>
      </c>
      <c r="D179" s="6" t="s">
        <v>62</v>
      </c>
      <c r="E179" s="15">
        <v>1022.23</v>
      </c>
      <c r="F179" s="14">
        <v>8</v>
      </c>
      <c r="G179" s="16">
        <v>0.1</v>
      </c>
      <c r="H179" s="12">
        <v>45717</v>
      </c>
      <c r="I179" s="15">
        <v>460</v>
      </c>
      <c r="J179" s="13">
        <f t="shared" ca="1" si="5"/>
        <v>46108.667233912034</v>
      </c>
    </row>
    <row r="180" spans="1:10" x14ac:dyDescent="0.3">
      <c r="A180" s="8" t="s">
        <v>119</v>
      </c>
      <c r="B180" s="9" t="s">
        <v>76</v>
      </c>
      <c r="C180" s="8" t="s">
        <v>65</v>
      </c>
      <c r="D180" s="9" t="s">
        <v>59</v>
      </c>
      <c r="E180" s="10">
        <v>1099.69</v>
      </c>
      <c r="F180" s="8">
        <v>6</v>
      </c>
      <c r="G180" s="11">
        <v>0</v>
      </c>
      <c r="H180" s="12">
        <v>45718</v>
      </c>
      <c r="I180" s="10">
        <v>439.88</v>
      </c>
      <c r="J180" s="13">
        <f t="shared" ca="1" si="5"/>
        <v>46108.667233912034</v>
      </c>
    </row>
    <row r="181" spans="1:10" x14ac:dyDescent="0.3">
      <c r="A181" s="14" t="s">
        <v>99</v>
      </c>
      <c r="B181" s="6" t="s">
        <v>111</v>
      </c>
      <c r="C181" s="14" t="s">
        <v>71</v>
      </c>
      <c r="D181" s="6" t="s">
        <v>59</v>
      </c>
      <c r="E181" s="15">
        <v>710.52</v>
      </c>
      <c r="F181" s="14">
        <v>8</v>
      </c>
      <c r="G181" s="16">
        <v>0.1</v>
      </c>
      <c r="H181" s="12">
        <v>45721</v>
      </c>
      <c r="I181" s="15">
        <v>255.79</v>
      </c>
      <c r="J181" s="13">
        <f t="shared" ca="1" si="5"/>
        <v>46108.667233912034</v>
      </c>
    </row>
    <row r="182" spans="1:10" x14ac:dyDescent="0.3">
      <c r="A182" s="8" t="s">
        <v>99</v>
      </c>
      <c r="B182" s="9" t="s">
        <v>106</v>
      </c>
      <c r="C182" s="8" t="s">
        <v>71</v>
      </c>
      <c r="D182" s="9" t="s">
        <v>59</v>
      </c>
      <c r="E182" s="10">
        <v>499.18</v>
      </c>
      <c r="F182" s="8">
        <v>15</v>
      </c>
      <c r="G182" s="11">
        <v>0.2</v>
      </c>
      <c r="H182" s="12">
        <v>45724</v>
      </c>
      <c r="I182" s="10">
        <v>159.74</v>
      </c>
      <c r="J182" s="13">
        <f t="shared" ca="1" si="5"/>
        <v>46108.667233912034</v>
      </c>
    </row>
    <row r="183" spans="1:10" x14ac:dyDescent="0.3">
      <c r="A183" s="14" t="s">
        <v>84</v>
      </c>
      <c r="B183" s="6" t="s">
        <v>85</v>
      </c>
      <c r="C183" s="14" t="s">
        <v>67</v>
      </c>
      <c r="D183" s="6" t="s">
        <v>59</v>
      </c>
      <c r="E183" s="15">
        <v>1064.19</v>
      </c>
      <c r="F183" s="14">
        <v>18</v>
      </c>
      <c r="G183" s="16">
        <v>0.05</v>
      </c>
      <c r="H183" s="12">
        <v>45725</v>
      </c>
      <c r="I183" s="15">
        <v>404.39</v>
      </c>
      <c r="J183" s="13">
        <f t="shared" ca="1" si="5"/>
        <v>46108.667233912034</v>
      </c>
    </row>
    <row r="184" spans="1:10" x14ac:dyDescent="0.3">
      <c r="A184" s="8" t="s">
        <v>114</v>
      </c>
      <c r="B184" s="9" t="s">
        <v>85</v>
      </c>
      <c r="C184" s="8" t="s">
        <v>65</v>
      </c>
      <c r="D184" s="9" t="s">
        <v>86</v>
      </c>
      <c r="E184" s="10">
        <v>438.76</v>
      </c>
      <c r="F184" s="8">
        <v>18</v>
      </c>
      <c r="G184" s="11">
        <v>0.05</v>
      </c>
      <c r="H184" s="12">
        <v>45726</v>
      </c>
      <c r="I184" s="10">
        <v>187.57</v>
      </c>
      <c r="J184" s="13">
        <f t="shared" ca="1" si="5"/>
        <v>46108.667233912034</v>
      </c>
    </row>
    <row r="185" spans="1:10" x14ac:dyDescent="0.3">
      <c r="A185" s="14" t="s">
        <v>88</v>
      </c>
      <c r="B185" s="6" t="s">
        <v>102</v>
      </c>
      <c r="C185" s="14" t="s">
        <v>58</v>
      </c>
      <c r="D185" s="6" t="s">
        <v>62</v>
      </c>
      <c r="E185" s="15">
        <v>864.98</v>
      </c>
      <c r="F185" s="14">
        <v>2</v>
      </c>
      <c r="G185" s="16">
        <v>0.05</v>
      </c>
      <c r="H185" s="12">
        <v>45727</v>
      </c>
      <c r="I185" s="15">
        <v>410.87</v>
      </c>
      <c r="J185" s="13">
        <f t="shared" ca="1" si="5"/>
        <v>46108.667233912034</v>
      </c>
    </row>
    <row r="186" spans="1:10" x14ac:dyDescent="0.3">
      <c r="A186" s="8" t="s">
        <v>104</v>
      </c>
      <c r="B186" s="9" t="s">
        <v>102</v>
      </c>
      <c r="C186" s="8" t="s">
        <v>58</v>
      </c>
      <c r="D186" s="9" t="s">
        <v>74</v>
      </c>
      <c r="E186" s="10">
        <v>984.93</v>
      </c>
      <c r="F186" s="8">
        <v>14</v>
      </c>
      <c r="G186" s="11">
        <v>0.2</v>
      </c>
      <c r="H186" s="12">
        <v>45733</v>
      </c>
      <c r="I186" s="10">
        <v>275.77999999999997</v>
      </c>
      <c r="J186" s="13">
        <f t="shared" ca="1" si="5"/>
        <v>46108.667233912034</v>
      </c>
    </row>
    <row r="187" spans="1:10" x14ac:dyDescent="0.3">
      <c r="A187" s="14" t="s">
        <v>72</v>
      </c>
      <c r="B187" s="6" t="s">
        <v>102</v>
      </c>
      <c r="C187" s="14" t="s">
        <v>58</v>
      </c>
      <c r="D187" s="6" t="s">
        <v>62</v>
      </c>
      <c r="E187" s="15">
        <v>1493.49</v>
      </c>
      <c r="F187" s="14">
        <v>18</v>
      </c>
      <c r="G187" s="16">
        <v>0</v>
      </c>
      <c r="H187" s="12">
        <v>45734</v>
      </c>
      <c r="I187" s="15">
        <v>746.74</v>
      </c>
      <c r="J187" s="13">
        <f t="shared" ca="1" si="5"/>
        <v>46108.667233912034</v>
      </c>
    </row>
    <row r="188" spans="1:10" x14ac:dyDescent="0.3">
      <c r="A188" s="8" t="s">
        <v>79</v>
      </c>
      <c r="B188" s="9" t="s">
        <v>100</v>
      </c>
      <c r="C188" s="8" t="s">
        <v>67</v>
      </c>
      <c r="D188" s="9" t="s">
        <v>62</v>
      </c>
      <c r="E188" s="10">
        <v>689.43</v>
      </c>
      <c r="F188" s="8">
        <v>9</v>
      </c>
      <c r="G188" s="11">
        <v>0.1</v>
      </c>
      <c r="H188" s="12">
        <v>45736</v>
      </c>
      <c r="I188" s="10">
        <v>310.24</v>
      </c>
      <c r="J188" s="13">
        <f t="shared" ca="1" si="5"/>
        <v>46108.667233912034</v>
      </c>
    </row>
    <row r="189" spans="1:10" x14ac:dyDescent="0.3">
      <c r="A189" s="14" t="s">
        <v>87</v>
      </c>
      <c r="B189" s="6" t="s">
        <v>106</v>
      </c>
      <c r="C189" s="14" t="s">
        <v>67</v>
      </c>
      <c r="D189" s="6" t="s">
        <v>62</v>
      </c>
      <c r="E189" s="15">
        <v>682.24</v>
      </c>
      <c r="F189" s="14">
        <v>1</v>
      </c>
      <c r="G189" s="16">
        <v>0</v>
      </c>
      <c r="H189" s="12">
        <v>45738</v>
      </c>
      <c r="I189" s="15">
        <v>341.12</v>
      </c>
      <c r="J189" s="13">
        <f t="shared" ca="1" si="5"/>
        <v>46108.667233912034</v>
      </c>
    </row>
    <row r="190" spans="1:10" x14ac:dyDescent="0.3">
      <c r="A190" s="8" t="s">
        <v>88</v>
      </c>
      <c r="B190" s="9" t="s">
        <v>73</v>
      </c>
      <c r="C190" s="8" t="s">
        <v>71</v>
      </c>
      <c r="D190" s="9" t="s">
        <v>68</v>
      </c>
      <c r="E190" s="10">
        <v>458.54</v>
      </c>
      <c r="F190" s="8">
        <v>15</v>
      </c>
      <c r="G190" s="11">
        <v>0.2</v>
      </c>
      <c r="H190" s="12">
        <v>45741</v>
      </c>
      <c r="I190" s="10">
        <v>91.71</v>
      </c>
      <c r="J190" s="13">
        <f t="shared" ca="1" si="5"/>
        <v>46108.667233912034</v>
      </c>
    </row>
    <row r="191" spans="1:10" x14ac:dyDescent="0.3">
      <c r="A191" s="14" t="s">
        <v>79</v>
      </c>
      <c r="B191" s="6" t="s">
        <v>73</v>
      </c>
      <c r="C191" s="14" t="s">
        <v>67</v>
      </c>
      <c r="D191" s="6" t="s">
        <v>74</v>
      </c>
      <c r="E191" s="15">
        <v>1184.25</v>
      </c>
      <c r="F191" s="14">
        <v>11</v>
      </c>
      <c r="G191" s="16">
        <v>0.2</v>
      </c>
      <c r="H191" s="12">
        <v>45742</v>
      </c>
      <c r="I191" s="15">
        <v>331.59</v>
      </c>
      <c r="J191" s="13">
        <f t="shared" ca="1" si="5"/>
        <v>46108.667233912034</v>
      </c>
    </row>
    <row r="192" spans="1:10" x14ac:dyDescent="0.3">
      <c r="A192" s="8" t="s">
        <v>72</v>
      </c>
      <c r="B192" s="9" t="s">
        <v>57</v>
      </c>
      <c r="C192" s="8" t="s">
        <v>67</v>
      </c>
      <c r="D192" s="9" t="s">
        <v>62</v>
      </c>
      <c r="E192" s="10">
        <v>762.14</v>
      </c>
      <c r="F192" s="8">
        <v>9</v>
      </c>
      <c r="G192" s="11">
        <v>0</v>
      </c>
      <c r="H192" s="12">
        <v>45743</v>
      </c>
      <c r="I192" s="10">
        <v>381.07</v>
      </c>
      <c r="J192" s="13">
        <f t="shared" ca="1" si="5"/>
        <v>46108.667233912034</v>
      </c>
    </row>
    <row r="193" spans="1:10" x14ac:dyDescent="0.3">
      <c r="A193" s="14" t="s">
        <v>69</v>
      </c>
      <c r="B193" s="6" t="s">
        <v>100</v>
      </c>
      <c r="C193" s="14" t="s">
        <v>71</v>
      </c>
      <c r="D193" s="6" t="s">
        <v>59</v>
      </c>
      <c r="E193" s="15">
        <v>750.71</v>
      </c>
      <c r="F193" s="14">
        <v>10</v>
      </c>
      <c r="G193" s="16">
        <v>0.15</v>
      </c>
      <c r="H193" s="12">
        <v>45743</v>
      </c>
      <c r="I193" s="15">
        <v>255.24</v>
      </c>
      <c r="J193" s="13">
        <f t="shared" ca="1" si="5"/>
        <v>46108.667233912034</v>
      </c>
    </row>
    <row r="194" spans="1:10" x14ac:dyDescent="0.3">
      <c r="A194" s="8" t="s">
        <v>122</v>
      </c>
      <c r="B194" s="9" t="s">
        <v>118</v>
      </c>
      <c r="C194" s="8" t="s">
        <v>81</v>
      </c>
      <c r="D194" s="9" t="s">
        <v>62</v>
      </c>
      <c r="E194" s="10">
        <v>1456.94</v>
      </c>
      <c r="F194" s="8">
        <v>14</v>
      </c>
      <c r="G194" s="11">
        <v>0.05</v>
      </c>
      <c r="H194" s="12">
        <v>45745</v>
      </c>
      <c r="I194" s="10">
        <v>692.05</v>
      </c>
      <c r="J194" s="13">
        <f t="shared" ref="J194:J201" ca="1" si="6">NOW()</f>
        <v>46108.667233912034</v>
      </c>
    </row>
    <row r="195" spans="1:10" x14ac:dyDescent="0.3">
      <c r="A195" s="14" t="s">
        <v>91</v>
      </c>
      <c r="B195" s="6" t="s">
        <v>108</v>
      </c>
      <c r="C195" s="14" t="s">
        <v>65</v>
      </c>
      <c r="D195" s="6" t="s">
        <v>74</v>
      </c>
      <c r="E195" s="15">
        <v>1093.3800000000001</v>
      </c>
      <c r="F195" s="14">
        <v>17</v>
      </c>
      <c r="G195" s="16">
        <v>0.1</v>
      </c>
      <c r="H195" s="12">
        <v>45745</v>
      </c>
      <c r="I195" s="15">
        <v>344.41</v>
      </c>
      <c r="J195" s="13">
        <f t="shared" ca="1" si="6"/>
        <v>46108.667233912034</v>
      </c>
    </row>
    <row r="196" spans="1:10" x14ac:dyDescent="0.3">
      <c r="A196" s="8" t="s">
        <v>84</v>
      </c>
      <c r="B196" s="9" t="s">
        <v>90</v>
      </c>
      <c r="C196" s="8" t="s">
        <v>58</v>
      </c>
      <c r="D196" s="9" t="s">
        <v>62</v>
      </c>
      <c r="E196" s="10">
        <v>934.27</v>
      </c>
      <c r="F196" s="8">
        <v>8</v>
      </c>
      <c r="G196" s="11">
        <v>0.15</v>
      </c>
      <c r="H196" s="12">
        <v>45746</v>
      </c>
      <c r="I196" s="10">
        <v>397.06</v>
      </c>
      <c r="J196" s="13">
        <f t="shared" ca="1" si="6"/>
        <v>46108.667233912034</v>
      </c>
    </row>
    <row r="197" spans="1:10" x14ac:dyDescent="0.3">
      <c r="A197" s="14" t="s">
        <v>117</v>
      </c>
      <c r="B197" s="6" t="s">
        <v>83</v>
      </c>
      <c r="C197" s="14" t="s">
        <v>81</v>
      </c>
      <c r="D197" s="6" t="s">
        <v>62</v>
      </c>
      <c r="E197" s="15">
        <v>1465.35</v>
      </c>
      <c r="F197" s="14">
        <v>8</v>
      </c>
      <c r="G197" s="16">
        <v>0.2</v>
      </c>
      <c r="H197" s="12">
        <v>45746</v>
      </c>
      <c r="I197" s="15">
        <v>586.14</v>
      </c>
      <c r="J197" s="13">
        <f t="shared" ca="1" si="6"/>
        <v>46108.667233912034</v>
      </c>
    </row>
    <row r="198" spans="1:10" x14ac:dyDescent="0.3">
      <c r="A198" s="8" t="s">
        <v>99</v>
      </c>
      <c r="B198" s="9" t="s">
        <v>61</v>
      </c>
      <c r="C198" s="8" t="s">
        <v>67</v>
      </c>
      <c r="D198" s="9" t="s">
        <v>86</v>
      </c>
      <c r="E198" s="10">
        <v>740.8</v>
      </c>
      <c r="F198" s="8">
        <v>3</v>
      </c>
      <c r="G198" s="11">
        <v>0</v>
      </c>
      <c r="H198" s="12">
        <v>45749</v>
      </c>
      <c r="I198" s="10">
        <v>333.36</v>
      </c>
      <c r="J198" s="13">
        <f t="shared" ca="1" si="6"/>
        <v>46108.667233912034</v>
      </c>
    </row>
    <row r="199" spans="1:10" x14ac:dyDescent="0.3">
      <c r="A199" s="14" t="s">
        <v>105</v>
      </c>
      <c r="B199" s="6" t="s">
        <v>90</v>
      </c>
      <c r="C199" s="14" t="s">
        <v>58</v>
      </c>
      <c r="D199" s="6" t="s">
        <v>86</v>
      </c>
      <c r="E199" s="15">
        <v>545.44000000000005</v>
      </c>
      <c r="F199" s="14">
        <v>17</v>
      </c>
      <c r="G199" s="16">
        <v>0</v>
      </c>
      <c r="H199" s="12">
        <v>45752</v>
      </c>
      <c r="I199" s="15">
        <v>245.45</v>
      </c>
      <c r="J199" s="13">
        <f t="shared" ca="1" si="6"/>
        <v>46108.667233912034</v>
      </c>
    </row>
    <row r="200" spans="1:10" x14ac:dyDescent="0.3">
      <c r="A200" s="8" t="s">
        <v>82</v>
      </c>
      <c r="B200" s="9" t="s">
        <v>83</v>
      </c>
      <c r="C200" s="8" t="s">
        <v>65</v>
      </c>
      <c r="D200" s="9" t="s">
        <v>59</v>
      </c>
      <c r="E200" s="10">
        <v>997.61</v>
      </c>
      <c r="F200" s="8">
        <v>8</v>
      </c>
      <c r="G200" s="11">
        <v>0.05</v>
      </c>
      <c r="H200" s="12">
        <v>45752</v>
      </c>
      <c r="I200" s="10">
        <v>379.09</v>
      </c>
      <c r="J200" s="13">
        <f t="shared" ca="1" si="6"/>
        <v>46108.667233912034</v>
      </c>
    </row>
    <row r="201" spans="1:10" x14ac:dyDescent="0.3">
      <c r="A201" s="14" t="s">
        <v>107</v>
      </c>
      <c r="B201" s="6" t="s">
        <v>83</v>
      </c>
      <c r="C201" s="14" t="s">
        <v>67</v>
      </c>
      <c r="D201" s="6" t="s">
        <v>62</v>
      </c>
      <c r="E201" s="15">
        <v>928.32</v>
      </c>
      <c r="F201" s="14">
        <v>2</v>
      </c>
      <c r="G201" s="16">
        <v>0.05</v>
      </c>
      <c r="H201" s="12">
        <v>45754</v>
      </c>
      <c r="I201" s="15">
        <v>440.95</v>
      </c>
      <c r="J201" s="13">
        <f t="shared" ca="1" si="6"/>
        <v>46108.667233912034</v>
      </c>
    </row>
  </sheetData>
  <conditionalFormatting sqref="E2:E2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>
      <pane ySplit="2" topLeftCell="A3" activePane="bottomLeft" state="frozen"/>
      <selection pane="bottomLeft" sqref="A1:F1"/>
    </sheetView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5" width="14" customWidth="1"/>
    <col min="6" max="6" width="16" customWidth="1"/>
  </cols>
  <sheetData>
    <row r="1" spans="1:6" ht="27.75" customHeight="1" x14ac:dyDescent="0.3">
      <c r="A1" s="100" t="s">
        <v>123</v>
      </c>
      <c r="B1" s="100"/>
      <c r="C1" s="100"/>
      <c r="D1" s="100"/>
      <c r="E1" s="100"/>
      <c r="F1" s="100"/>
    </row>
    <row r="2" spans="1:6" ht="27.6" x14ac:dyDescent="0.3">
      <c r="A2" s="3" t="s">
        <v>124</v>
      </c>
      <c r="B2" s="3" t="s">
        <v>47</v>
      </c>
      <c r="C2" s="3" t="s">
        <v>48</v>
      </c>
      <c r="D2" s="3" t="s">
        <v>125</v>
      </c>
      <c r="E2" s="3" t="s">
        <v>126</v>
      </c>
      <c r="F2" s="3" t="s">
        <v>127</v>
      </c>
    </row>
    <row r="3" spans="1:6" x14ac:dyDescent="0.3">
      <c r="A3" s="17">
        <v>1</v>
      </c>
      <c r="B3" s="18" t="s">
        <v>105</v>
      </c>
      <c r="C3" s="19" t="s">
        <v>100</v>
      </c>
      <c r="D3" s="20">
        <v>11611.06</v>
      </c>
      <c r="E3" s="20">
        <v>4201.59</v>
      </c>
      <c r="F3" s="21">
        <v>0.36186101871836002</v>
      </c>
    </row>
    <row r="4" spans="1:6" x14ac:dyDescent="0.3">
      <c r="A4" s="17">
        <v>2</v>
      </c>
      <c r="B4" s="18" t="s">
        <v>99</v>
      </c>
      <c r="C4" s="19" t="s">
        <v>100</v>
      </c>
      <c r="D4" s="20">
        <v>10293.870000000001</v>
      </c>
      <c r="E4" s="20">
        <v>3541.02</v>
      </c>
      <c r="F4" s="21">
        <v>0.34399307549055902</v>
      </c>
    </row>
    <row r="5" spans="1:6" x14ac:dyDescent="0.3">
      <c r="A5" s="17">
        <v>3</v>
      </c>
      <c r="B5" s="18" t="s">
        <v>72</v>
      </c>
      <c r="C5" s="19" t="s">
        <v>73</v>
      </c>
      <c r="D5" s="20">
        <v>9941.8799999999992</v>
      </c>
      <c r="E5" s="20">
        <v>3936.26</v>
      </c>
      <c r="F5" s="21">
        <v>0.39592712847067202</v>
      </c>
    </row>
    <row r="6" spans="1:6" x14ac:dyDescent="0.3">
      <c r="A6" s="22">
        <v>4</v>
      </c>
      <c r="B6" s="23" t="s">
        <v>91</v>
      </c>
      <c r="C6" s="24" t="s">
        <v>61</v>
      </c>
      <c r="D6" s="25">
        <v>9760.7999999999993</v>
      </c>
      <c r="E6" s="25">
        <v>3442.48</v>
      </c>
      <c r="F6" s="26">
        <v>0.35268420621260599</v>
      </c>
    </row>
    <row r="7" spans="1:6" x14ac:dyDescent="0.3">
      <c r="A7" s="22">
        <v>5</v>
      </c>
      <c r="B7" s="23" t="s">
        <v>77</v>
      </c>
      <c r="C7" s="24" t="s">
        <v>78</v>
      </c>
      <c r="D7" s="25">
        <v>9371.81</v>
      </c>
      <c r="E7" s="25">
        <v>2922.02</v>
      </c>
      <c r="F7" s="26">
        <v>0.311788224473181</v>
      </c>
    </row>
    <row r="8" spans="1:6" x14ac:dyDescent="0.3">
      <c r="A8" s="22">
        <v>6</v>
      </c>
      <c r="B8" s="23" t="s">
        <v>104</v>
      </c>
      <c r="C8" s="24" t="s">
        <v>90</v>
      </c>
      <c r="D8" s="25">
        <v>8740.18</v>
      </c>
      <c r="E8" s="25">
        <v>2848.62</v>
      </c>
      <c r="F8" s="26">
        <v>0.32592234942529802</v>
      </c>
    </row>
    <row r="9" spans="1:6" x14ac:dyDescent="0.3">
      <c r="A9" s="22">
        <v>7</v>
      </c>
      <c r="B9" s="23" t="s">
        <v>114</v>
      </c>
      <c r="C9" s="24" t="s">
        <v>85</v>
      </c>
      <c r="D9" s="25">
        <v>8490.18</v>
      </c>
      <c r="E9" s="25">
        <v>2652.75</v>
      </c>
      <c r="F9" s="26">
        <v>0.31244920602390103</v>
      </c>
    </row>
    <row r="10" spans="1:6" x14ac:dyDescent="0.3">
      <c r="A10" s="27">
        <v>8</v>
      </c>
      <c r="B10" s="28" t="s">
        <v>60</v>
      </c>
      <c r="C10" s="7" t="s">
        <v>61</v>
      </c>
      <c r="D10" s="29">
        <v>8339</v>
      </c>
      <c r="E10" s="29">
        <v>2988.71</v>
      </c>
      <c r="F10" s="30">
        <v>0.35840148698884799</v>
      </c>
    </row>
    <row r="11" spans="1:6" x14ac:dyDescent="0.3">
      <c r="A11" s="27">
        <v>9</v>
      </c>
      <c r="B11" s="28" t="s">
        <v>69</v>
      </c>
      <c r="C11" s="7" t="s">
        <v>70</v>
      </c>
      <c r="D11" s="29">
        <v>7928.71</v>
      </c>
      <c r="E11" s="29">
        <v>2965.48</v>
      </c>
      <c r="F11" s="30">
        <v>0.37401796761389899</v>
      </c>
    </row>
    <row r="12" spans="1:6" x14ac:dyDescent="0.3">
      <c r="A12" s="27">
        <v>10</v>
      </c>
      <c r="B12" s="28" t="s">
        <v>119</v>
      </c>
      <c r="C12" s="7" t="s">
        <v>92</v>
      </c>
      <c r="D12" s="29">
        <v>7813.59</v>
      </c>
      <c r="E12" s="29">
        <v>3211.82</v>
      </c>
      <c r="F12" s="30">
        <v>0.41105560952136</v>
      </c>
    </row>
    <row r="14" spans="1:6" x14ac:dyDescent="0.3">
      <c r="A14" s="101" t="s">
        <v>128</v>
      </c>
      <c r="B14" s="101"/>
      <c r="C14" s="101"/>
      <c r="D14" s="101"/>
      <c r="E14" s="101"/>
      <c r="F14" s="101"/>
    </row>
  </sheetData>
  <mergeCells count="2">
    <mergeCell ref="A1:F1"/>
    <mergeCell ref="A14:F14"/>
  </mergeCells>
  <conditionalFormatting sqref="D3:D12">
    <cfRule type="colorScale" priority="2">
      <colorScale>
        <cfvo type="min"/>
        <cfvo type="max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Normal="100" workbookViewId="0">
      <selection activeCell="E11" sqref="E11"/>
    </sheetView>
  </sheetViews>
  <sheetFormatPr defaultColWidth="8.6640625" defaultRowHeight="14.4" x14ac:dyDescent="0.3"/>
  <cols>
    <col min="1" max="1" width="22" customWidth="1"/>
    <col min="2" max="2" width="12" customWidth="1"/>
    <col min="3" max="3" width="20" customWidth="1"/>
    <col min="4" max="4" width="22" customWidth="1"/>
    <col min="5" max="5" width="20" customWidth="1"/>
    <col min="6" max="7" width="18" customWidth="1"/>
  </cols>
  <sheetData>
    <row r="1" spans="1:7" ht="27.75" customHeight="1" x14ac:dyDescent="0.3">
      <c r="A1" s="100" t="s">
        <v>129</v>
      </c>
      <c r="B1" s="100"/>
      <c r="C1" s="100"/>
      <c r="D1" s="100"/>
      <c r="E1" s="100"/>
      <c r="F1" s="100"/>
      <c r="G1" s="100"/>
    </row>
    <row r="3" spans="1:7" ht="15" customHeight="1" x14ac:dyDescent="0.3">
      <c r="A3" s="102" t="s">
        <v>130</v>
      </c>
      <c r="B3" s="102"/>
      <c r="C3" s="102"/>
    </row>
    <row r="4" spans="1:7" x14ac:dyDescent="0.3">
      <c r="A4" s="31" t="s">
        <v>131</v>
      </c>
      <c r="B4" s="32">
        <v>68287.009999999995</v>
      </c>
    </row>
    <row r="5" spans="1:7" x14ac:dyDescent="0.3">
      <c r="A5" s="31" t="s">
        <v>132</v>
      </c>
      <c r="B5" s="32">
        <v>195217.76</v>
      </c>
    </row>
    <row r="6" spans="1:7" x14ac:dyDescent="0.3">
      <c r="A6" s="31" t="s">
        <v>133</v>
      </c>
      <c r="B6" s="33">
        <v>9.7250000000000003E-2</v>
      </c>
    </row>
    <row r="8" spans="1:7" ht="27.6" x14ac:dyDescent="0.3">
      <c r="A8" s="3" t="s">
        <v>134</v>
      </c>
      <c r="B8" s="3" t="s">
        <v>135</v>
      </c>
      <c r="C8" s="3" t="s">
        <v>136</v>
      </c>
      <c r="D8" s="3" t="s">
        <v>137</v>
      </c>
      <c r="E8" s="3" t="s">
        <v>138</v>
      </c>
      <c r="F8" s="3" t="s">
        <v>139</v>
      </c>
      <c r="G8" s="3" t="s">
        <v>140</v>
      </c>
    </row>
    <row r="9" spans="1:7" x14ac:dyDescent="0.3">
      <c r="A9" s="24" t="s">
        <v>141</v>
      </c>
      <c r="B9" s="34">
        <v>0</v>
      </c>
      <c r="C9" s="35">
        <v>1.1077263915812801</v>
      </c>
      <c r="D9" s="25">
        <v>75643.323179174797</v>
      </c>
      <c r="E9" s="36">
        <v>7356.3131791747401</v>
      </c>
      <c r="F9" s="37">
        <v>0.107726391581279</v>
      </c>
      <c r="G9" s="38" t="s">
        <v>142</v>
      </c>
    </row>
    <row r="10" spans="1:7" x14ac:dyDescent="0.3">
      <c r="A10" s="24" t="s">
        <v>143</v>
      </c>
      <c r="B10" s="34">
        <v>0.05</v>
      </c>
      <c r="C10" s="35">
        <v>1.05234007200222</v>
      </c>
      <c r="D10" s="25">
        <v>71861.157020215993</v>
      </c>
      <c r="E10" s="36">
        <v>3574.1470202160099</v>
      </c>
      <c r="F10" s="37">
        <v>5.23400720022155E-2</v>
      </c>
      <c r="G10" s="38" t="s">
        <v>142</v>
      </c>
    </row>
    <row r="11" spans="1:7" x14ac:dyDescent="0.3">
      <c r="A11" s="39" t="s">
        <v>144</v>
      </c>
      <c r="B11" s="40">
        <v>0.1</v>
      </c>
      <c r="C11" s="41">
        <v>0.99695375242315198</v>
      </c>
      <c r="D11" s="42">
        <v>68078.990861257305</v>
      </c>
      <c r="E11" s="43">
        <v>-208.01913874273299</v>
      </c>
      <c r="F11" s="44">
        <v>-3.04624757684856E-3</v>
      </c>
      <c r="G11" s="45" t="s">
        <v>145</v>
      </c>
    </row>
    <row r="12" spans="1:7" x14ac:dyDescent="0.3">
      <c r="A12" s="39" t="s">
        <v>146</v>
      </c>
      <c r="B12" s="40">
        <v>0.1</v>
      </c>
      <c r="C12" s="41">
        <v>0.99695375242315198</v>
      </c>
      <c r="D12" s="42">
        <v>68078.990861257305</v>
      </c>
      <c r="E12" s="43">
        <v>-208.01913874273299</v>
      </c>
      <c r="F12" s="44">
        <v>-3.04624757684856E-3</v>
      </c>
      <c r="G12" s="45" t="s">
        <v>145</v>
      </c>
    </row>
    <row r="13" spans="1:7" x14ac:dyDescent="0.3">
      <c r="A13" s="46" t="s">
        <v>147</v>
      </c>
      <c r="B13" s="47">
        <v>0.2</v>
      </c>
      <c r="C13" s="48">
        <v>0.88618111326502402</v>
      </c>
      <c r="D13" s="20">
        <v>60514.6585433398</v>
      </c>
      <c r="E13" s="49">
        <v>-7772.3514566601998</v>
      </c>
      <c r="F13" s="50">
        <v>-0.113818886734976</v>
      </c>
      <c r="G13" s="51" t="s">
        <v>145</v>
      </c>
    </row>
    <row r="14" spans="1:7" x14ac:dyDescent="0.3">
      <c r="A14" s="46" t="s">
        <v>148</v>
      </c>
      <c r="B14" s="47">
        <v>0.25</v>
      </c>
      <c r="C14" s="48">
        <v>0.83079479368595999</v>
      </c>
      <c r="D14" s="20">
        <v>56732.492384381098</v>
      </c>
      <c r="E14" s="49">
        <v>-11554.517615618901</v>
      </c>
      <c r="F14" s="50">
        <v>-0.16920520631404001</v>
      </c>
      <c r="G14" s="51" t="s">
        <v>145</v>
      </c>
    </row>
    <row r="15" spans="1:7" x14ac:dyDescent="0.3">
      <c r="A15" s="46" t="s">
        <v>149</v>
      </c>
      <c r="B15" s="47">
        <v>0.3</v>
      </c>
      <c r="C15" s="48">
        <v>0.77540847410689595</v>
      </c>
      <c r="D15" s="20">
        <v>52950.326225422301</v>
      </c>
      <c r="E15" s="49">
        <v>-15336.683774577699</v>
      </c>
      <c r="F15" s="50">
        <v>-0.22459152589310399</v>
      </c>
      <c r="G15" s="51" t="s">
        <v>145</v>
      </c>
    </row>
    <row r="16" spans="1:7" x14ac:dyDescent="0.3">
      <c r="A16" s="46" t="s">
        <v>150</v>
      </c>
      <c r="B16" s="47">
        <v>0.4</v>
      </c>
      <c r="C16" s="48">
        <v>0.66463583494876799</v>
      </c>
      <c r="D16" s="20">
        <v>45385.993907504897</v>
      </c>
      <c r="E16" s="49">
        <v>-22901.0160924952</v>
      </c>
      <c r="F16" s="50">
        <v>-0.33536416505123201</v>
      </c>
      <c r="G16" s="51" t="s">
        <v>145</v>
      </c>
    </row>
    <row r="18" spans="1:7" x14ac:dyDescent="0.3">
      <c r="A18" s="101" t="s">
        <v>151</v>
      </c>
      <c r="B18" s="101"/>
      <c r="C18" s="101"/>
      <c r="D18" s="101"/>
      <c r="E18" s="101"/>
      <c r="F18" s="101"/>
      <c r="G18" s="101"/>
    </row>
  </sheetData>
  <mergeCells count="3">
    <mergeCell ref="A1:G1"/>
    <mergeCell ref="A3:C3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opLeftCell="A13" zoomScaleNormal="100" workbookViewId="0">
      <selection sqref="A1:E1"/>
    </sheetView>
  </sheetViews>
  <sheetFormatPr defaultColWidth="8.6640625" defaultRowHeight="14.4" x14ac:dyDescent="0.3"/>
  <cols>
    <col min="1" max="1" width="22" customWidth="1"/>
    <col min="2" max="2" width="18" customWidth="1"/>
    <col min="3" max="3" width="14" customWidth="1"/>
    <col min="4" max="4" width="12" customWidth="1"/>
    <col min="5" max="5" width="40" customWidth="1"/>
  </cols>
  <sheetData>
    <row r="1" spans="1:5" ht="27.75" customHeight="1" x14ac:dyDescent="0.3">
      <c r="A1" s="100" t="s">
        <v>152</v>
      </c>
      <c r="B1" s="100"/>
      <c r="C1" s="100"/>
      <c r="D1" s="100"/>
      <c r="E1" s="100"/>
    </row>
    <row r="3" spans="1:5" ht="15" customHeight="1" x14ac:dyDescent="0.3">
      <c r="A3" s="102" t="s">
        <v>153</v>
      </c>
      <c r="B3" s="102"/>
      <c r="C3" s="102"/>
    </row>
    <row r="4" spans="1:5" x14ac:dyDescent="0.3">
      <c r="A4" s="31" t="s">
        <v>154</v>
      </c>
      <c r="B4" s="52">
        <v>0.77340306414342597</v>
      </c>
    </row>
    <row r="5" spans="1:5" x14ac:dyDescent="0.3">
      <c r="A5" s="31" t="s">
        <v>155</v>
      </c>
      <c r="B5" s="52">
        <v>0.59815229962644101</v>
      </c>
    </row>
    <row r="6" spans="1:5" x14ac:dyDescent="0.3">
      <c r="A6" s="31" t="s">
        <v>156</v>
      </c>
      <c r="B6" s="52">
        <v>0.59612276578616996</v>
      </c>
    </row>
    <row r="7" spans="1:5" x14ac:dyDescent="0.3">
      <c r="A7" s="31" t="s">
        <v>157</v>
      </c>
      <c r="B7" s="52">
        <v>86.281230529665095</v>
      </c>
    </row>
    <row r="8" spans="1:5" x14ac:dyDescent="0.3">
      <c r="A8" s="31" t="s">
        <v>158</v>
      </c>
      <c r="B8" s="53">
        <v>200</v>
      </c>
    </row>
    <row r="10" spans="1:5" ht="15" customHeight="1" x14ac:dyDescent="0.3">
      <c r="A10" s="102" t="s">
        <v>159</v>
      </c>
      <c r="B10" s="102"/>
      <c r="C10" s="102"/>
      <c r="D10" s="102"/>
      <c r="E10" s="102"/>
    </row>
    <row r="11" spans="1:5" x14ac:dyDescent="0.3">
      <c r="A11" s="3"/>
      <c r="B11" s="3" t="s">
        <v>160</v>
      </c>
      <c r="C11" s="3" t="s">
        <v>161</v>
      </c>
      <c r="D11" s="3" t="s">
        <v>162</v>
      </c>
      <c r="E11" s="3" t="s">
        <v>163</v>
      </c>
    </row>
    <row r="12" spans="1:5" x14ac:dyDescent="0.3">
      <c r="A12" s="54" t="s">
        <v>164</v>
      </c>
      <c r="B12" s="55">
        <v>1</v>
      </c>
      <c r="C12" s="56">
        <v>2194058.1833402799</v>
      </c>
      <c r="D12" s="56">
        <v>2194058.1833402799</v>
      </c>
      <c r="E12" s="57">
        <v>294.72398427548097</v>
      </c>
    </row>
    <row r="13" spans="1:5" x14ac:dyDescent="0.3">
      <c r="A13" s="54" t="s">
        <v>165</v>
      </c>
      <c r="B13" s="55">
        <v>198</v>
      </c>
      <c r="C13" s="56">
        <v>1474001.2468592201</v>
      </c>
      <c r="D13" s="56">
        <v>7444.4507417132199</v>
      </c>
      <c r="E13" s="58"/>
    </row>
    <row r="14" spans="1:5" x14ac:dyDescent="0.3">
      <c r="A14" s="54" t="s">
        <v>166</v>
      </c>
      <c r="B14" s="55">
        <v>199</v>
      </c>
      <c r="C14" s="56">
        <v>3668059.4301995002</v>
      </c>
      <c r="D14" s="58"/>
      <c r="E14" s="58"/>
    </row>
    <row r="16" spans="1:5" ht="15" customHeight="1" x14ac:dyDescent="0.3">
      <c r="A16" s="102" t="s">
        <v>167</v>
      </c>
      <c r="B16" s="102"/>
      <c r="C16" s="102"/>
      <c r="D16" s="102"/>
      <c r="E16" s="102"/>
    </row>
    <row r="17" spans="1:5" x14ac:dyDescent="0.3">
      <c r="A17" s="3"/>
      <c r="B17" s="3" t="s">
        <v>168</v>
      </c>
      <c r="C17" s="3" t="s">
        <v>169</v>
      </c>
      <c r="D17" s="3" t="s">
        <v>170</v>
      </c>
      <c r="E17" s="3" t="s">
        <v>171</v>
      </c>
    </row>
    <row r="18" spans="1:5" x14ac:dyDescent="0.3">
      <c r="A18" s="31" t="s">
        <v>172</v>
      </c>
      <c r="B18" s="52">
        <v>-1.031550490191</v>
      </c>
      <c r="C18" s="52">
        <v>20.860617005445501</v>
      </c>
      <c r="D18" s="52">
        <v>-4.9449663445799603E-2</v>
      </c>
      <c r="E18" s="7" t="s">
        <v>173</v>
      </c>
    </row>
    <row r="19" spans="1:5" x14ac:dyDescent="0.3">
      <c r="A19" s="59" t="s">
        <v>174</v>
      </c>
      <c r="B19" s="60">
        <v>0.35085598819512198</v>
      </c>
      <c r="C19" s="60">
        <v>2.0437188630135598E-2</v>
      </c>
      <c r="D19" s="60">
        <v>17.167527028535002</v>
      </c>
      <c r="E19" s="24" t="s">
        <v>175</v>
      </c>
    </row>
    <row r="21" spans="1:5" x14ac:dyDescent="0.3">
      <c r="A21" s="103" t="s">
        <v>176</v>
      </c>
      <c r="B21" s="103"/>
      <c r="C21" s="103"/>
      <c r="D21" s="103"/>
      <c r="E21" s="103"/>
    </row>
    <row r="23" spans="1:5" ht="15" customHeight="1" x14ac:dyDescent="0.3">
      <c r="A23" s="102" t="s">
        <v>177</v>
      </c>
      <c r="B23" s="102"/>
      <c r="C23" s="102"/>
      <c r="D23" s="102"/>
      <c r="E23" s="102"/>
    </row>
    <row r="24" spans="1:5" ht="27.6" x14ac:dyDescent="0.3">
      <c r="A24" s="3" t="s">
        <v>178</v>
      </c>
      <c r="B24" s="3" t="s">
        <v>179</v>
      </c>
      <c r="C24" s="3" t="s">
        <v>180</v>
      </c>
      <c r="D24" s="3" t="s">
        <v>181</v>
      </c>
      <c r="E24" s="3" t="s">
        <v>182</v>
      </c>
    </row>
    <row r="25" spans="1:5" x14ac:dyDescent="0.3">
      <c r="A25" s="61">
        <v>500</v>
      </c>
      <c r="B25" s="25">
        <v>174.39644360737</v>
      </c>
      <c r="C25" s="29">
        <v>5.2852317692264403</v>
      </c>
      <c r="D25" s="29">
        <v>343.50765544551399</v>
      </c>
      <c r="E25" s="62" t="s">
        <v>183</v>
      </c>
    </row>
    <row r="26" spans="1:5" x14ac:dyDescent="0.3">
      <c r="A26" s="61">
        <v>750</v>
      </c>
      <c r="B26" s="25">
        <v>262.11044065615101</v>
      </c>
      <c r="C26" s="29">
        <v>92.999228818006898</v>
      </c>
      <c r="D26" s="29">
        <v>431.22165249429401</v>
      </c>
      <c r="E26" s="62" t="s">
        <v>183</v>
      </c>
    </row>
    <row r="27" spans="1:5" x14ac:dyDescent="0.3">
      <c r="A27" s="61">
        <v>1000</v>
      </c>
      <c r="B27" s="25">
        <v>349.82443770493097</v>
      </c>
      <c r="C27" s="29">
        <v>180.71322586678801</v>
      </c>
      <c r="D27" s="29">
        <v>518.93564954307499</v>
      </c>
      <c r="E27" s="62" t="s">
        <v>183</v>
      </c>
    </row>
    <row r="28" spans="1:5" x14ac:dyDescent="0.3">
      <c r="A28" s="61">
        <v>1250</v>
      </c>
      <c r="B28" s="25">
        <v>437.53843475371201</v>
      </c>
      <c r="C28" s="29">
        <v>268.427222915568</v>
      </c>
      <c r="D28" s="29">
        <v>606.649646591855</v>
      </c>
      <c r="E28" s="62" t="s">
        <v>183</v>
      </c>
    </row>
    <row r="29" spans="1:5" x14ac:dyDescent="0.3">
      <c r="A29" s="61">
        <v>1500</v>
      </c>
      <c r="B29" s="25">
        <v>525.25243180249197</v>
      </c>
      <c r="C29" s="29">
        <v>356.14121996434898</v>
      </c>
      <c r="D29" s="29">
        <v>694.36364364063604</v>
      </c>
      <c r="E29" s="62" t="s">
        <v>183</v>
      </c>
    </row>
    <row r="30" spans="1:5" x14ac:dyDescent="0.3">
      <c r="A30" s="61">
        <v>1750</v>
      </c>
      <c r="B30" s="25">
        <v>612.96642885127301</v>
      </c>
      <c r="C30" s="29">
        <v>443.85521701312899</v>
      </c>
      <c r="D30" s="29">
        <v>782.07764068941697</v>
      </c>
      <c r="E30" s="62" t="s">
        <v>183</v>
      </c>
    </row>
    <row r="31" spans="1:5" x14ac:dyDescent="0.3">
      <c r="A31" s="61">
        <v>2000</v>
      </c>
      <c r="B31" s="25">
        <v>700.68042590005405</v>
      </c>
      <c r="C31" s="29">
        <v>531.56921406190997</v>
      </c>
      <c r="D31" s="29">
        <v>869.79163773819698</v>
      </c>
      <c r="E31" s="62" t="s">
        <v>183</v>
      </c>
    </row>
  </sheetData>
  <mergeCells count="6">
    <mergeCell ref="A23:E23"/>
    <mergeCell ref="A1:E1"/>
    <mergeCell ref="A3:C3"/>
    <mergeCell ref="A10:E10"/>
    <mergeCell ref="A16:E16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zoomScaleNormal="100" workbookViewId="0">
      <selection sqref="A1:G1"/>
    </sheetView>
  </sheetViews>
  <sheetFormatPr defaultColWidth="8.6640625" defaultRowHeight="14.4" x14ac:dyDescent="0.3"/>
  <cols>
    <col min="1" max="1" width="16" customWidth="1"/>
    <col min="2" max="8" width="12" customWidth="1"/>
  </cols>
  <sheetData>
    <row r="1" spans="1:8" ht="27.75" customHeight="1" x14ac:dyDescent="0.3">
      <c r="A1" s="100" t="s">
        <v>184</v>
      </c>
      <c r="B1" s="100"/>
      <c r="C1" s="100"/>
      <c r="D1" s="100"/>
      <c r="E1" s="100"/>
      <c r="F1" s="100"/>
      <c r="G1" s="100"/>
    </row>
    <row r="2" spans="1:8" ht="15" customHeight="1" x14ac:dyDescent="0.3">
      <c r="A2" s="104" t="s">
        <v>51</v>
      </c>
      <c r="B2" s="104"/>
      <c r="C2" s="105" t="s">
        <v>55</v>
      </c>
      <c r="D2" s="105"/>
      <c r="E2" s="106" t="s">
        <v>52</v>
      </c>
      <c r="F2" s="106"/>
      <c r="G2" s="107" t="s">
        <v>53</v>
      </c>
      <c r="H2" s="107"/>
    </row>
    <row r="3" spans="1:8" x14ac:dyDescent="0.3">
      <c r="A3" s="63" t="s">
        <v>185</v>
      </c>
      <c r="B3" s="63" t="s">
        <v>186</v>
      </c>
      <c r="C3" s="63" t="s">
        <v>185</v>
      </c>
      <c r="D3" s="63" t="s">
        <v>186</v>
      </c>
      <c r="E3" s="63" t="s">
        <v>185</v>
      </c>
      <c r="F3" s="63" t="s">
        <v>186</v>
      </c>
      <c r="G3" s="63" t="s">
        <v>185</v>
      </c>
      <c r="H3" s="63" t="s">
        <v>186</v>
      </c>
    </row>
    <row r="4" spans="1:8" x14ac:dyDescent="0.3">
      <c r="A4" s="64" t="s">
        <v>187</v>
      </c>
      <c r="B4" s="65">
        <v>200</v>
      </c>
      <c r="C4" s="64" t="s">
        <v>187</v>
      </c>
      <c r="D4" s="65">
        <v>200</v>
      </c>
      <c r="E4" s="64" t="s">
        <v>187</v>
      </c>
      <c r="F4" s="65">
        <v>200</v>
      </c>
      <c r="G4" s="64" t="s">
        <v>187</v>
      </c>
      <c r="H4" s="65">
        <v>200</v>
      </c>
    </row>
    <row r="5" spans="1:8" x14ac:dyDescent="0.3">
      <c r="A5" s="66" t="s">
        <v>188</v>
      </c>
      <c r="B5" s="67">
        <v>976.08879999999999</v>
      </c>
      <c r="C5" s="66" t="s">
        <v>188</v>
      </c>
      <c r="D5" s="67">
        <v>341.43504999999999</v>
      </c>
      <c r="E5" s="66" t="s">
        <v>188</v>
      </c>
      <c r="F5" s="67">
        <v>9.9949999999999992</v>
      </c>
      <c r="G5" s="66" t="s">
        <v>188</v>
      </c>
      <c r="H5" s="67">
        <v>9.7250000000000003E-2</v>
      </c>
    </row>
    <row r="6" spans="1:8" x14ac:dyDescent="0.3">
      <c r="A6" s="64" t="s">
        <v>189</v>
      </c>
      <c r="B6" s="68">
        <v>299.273759098563</v>
      </c>
      <c r="C6" s="64" t="s">
        <v>189</v>
      </c>
      <c r="D6" s="68">
        <v>135.766194055217</v>
      </c>
      <c r="E6" s="64" t="s">
        <v>189</v>
      </c>
      <c r="F6" s="68">
        <v>5.64662704496451</v>
      </c>
      <c r="G6" s="64" t="s">
        <v>189</v>
      </c>
      <c r="H6" s="68">
        <v>7.2326295113355005E-2</v>
      </c>
    </row>
    <row r="7" spans="1:8" x14ac:dyDescent="0.3">
      <c r="A7" s="66" t="s">
        <v>190</v>
      </c>
      <c r="B7" s="67">
        <v>89564.782884984903</v>
      </c>
      <c r="C7" s="66" t="s">
        <v>190</v>
      </c>
      <c r="D7" s="67">
        <v>18432.4594482387</v>
      </c>
      <c r="E7" s="66" t="s">
        <v>190</v>
      </c>
      <c r="F7" s="67">
        <v>31.884396984924599</v>
      </c>
      <c r="G7" s="66" t="s">
        <v>190</v>
      </c>
      <c r="H7" s="67">
        <v>5.2310929648241196E-3</v>
      </c>
    </row>
    <row r="8" spans="1:8" x14ac:dyDescent="0.3">
      <c r="A8" s="64" t="s">
        <v>191</v>
      </c>
      <c r="B8" s="68">
        <v>258.51</v>
      </c>
      <c r="C8" s="64" t="s">
        <v>191</v>
      </c>
      <c r="D8" s="68">
        <v>64.63</v>
      </c>
      <c r="E8" s="64" t="s">
        <v>191</v>
      </c>
      <c r="F8" s="68">
        <v>1</v>
      </c>
      <c r="G8" s="64" t="s">
        <v>191</v>
      </c>
      <c r="H8" s="68">
        <v>0</v>
      </c>
    </row>
    <row r="9" spans="1:8" x14ac:dyDescent="0.3">
      <c r="A9" s="66" t="s">
        <v>192</v>
      </c>
      <c r="B9" s="67">
        <v>1923.66</v>
      </c>
      <c r="C9" s="66" t="s">
        <v>192</v>
      </c>
      <c r="D9" s="67">
        <v>769.46</v>
      </c>
      <c r="E9" s="66" t="s">
        <v>192</v>
      </c>
      <c r="F9" s="67">
        <v>19</v>
      </c>
      <c r="G9" s="66" t="s">
        <v>192</v>
      </c>
      <c r="H9" s="67">
        <v>0.2</v>
      </c>
    </row>
    <row r="10" spans="1:8" x14ac:dyDescent="0.3">
      <c r="A10" s="64" t="s">
        <v>193</v>
      </c>
      <c r="B10" s="68">
        <v>1665.15</v>
      </c>
      <c r="C10" s="64" t="s">
        <v>193</v>
      </c>
      <c r="D10" s="68">
        <v>704.83</v>
      </c>
      <c r="E10" s="64" t="s">
        <v>193</v>
      </c>
      <c r="F10" s="68">
        <v>18</v>
      </c>
      <c r="G10" s="64" t="s">
        <v>193</v>
      </c>
      <c r="H10" s="68">
        <v>0.2</v>
      </c>
    </row>
    <row r="11" spans="1:8" x14ac:dyDescent="0.3">
      <c r="A11" s="66" t="s">
        <v>194</v>
      </c>
      <c r="B11" s="67">
        <v>976.72</v>
      </c>
      <c r="C11" s="66" t="s">
        <v>194</v>
      </c>
      <c r="D11" s="67">
        <v>332.255</v>
      </c>
      <c r="E11" s="66" t="s">
        <v>194</v>
      </c>
      <c r="F11" s="67">
        <v>10</v>
      </c>
      <c r="G11" s="66" t="s">
        <v>194</v>
      </c>
      <c r="H11" s="67">
        <v>0.1</v>
      </c>
    </row>
    <row r="12" spans="1:8" x14ac:dyDescent="0.3">
      <c r="A12" s="64" t="s">
        <v>195</v>
      </c>
      <c r="B12" s="68">
        <v>761.83749999999998</v>
      </c>
      <c r="C12" s="64" t="s">
        <v>195</v>
      </c>
      <c r="D12" s="68">
        <v>240.8425</v>
      </c>
      <c r="E12" s="64" t="s">
        <v>195</v>
      </c>
      <c r="F12" s="68">
        <v>5</v>
      </c>
      <c r="G12" s="64" t="s">
        <v>195</v>
      </c>
      <c r="H12" s="68">
        <v>0.05</v>
      </c>
    </row>
    <row r="13" spans="1:8" x14ac:dyDescent="0.3">
      <c r="A13" s="66" t="s">
        <v>196</v>
      </c>
      <c r="B13" s="67">
        <v>1173.0074999999999</v>
      </c>
      <c r="C13" s="66" t="s">
        <v>196</v>
      </c>
      <c r="D13" s="67">
        <v>440.03750000000002</v>
      </c>
      <c r="E13" s="66" t="s">
        <v>196</v>
      </c>
      <c r="F13" s="67">
        <v>15</v>
      </c>
      <c r="G13" s="66" t="s">
        <v>196</v>
      </c>
      <c r="H13" s="67">
        <v>0.15</v>
      </c>
    </row>
    <row r="14" spans="1:8" x14ac:dyDescent="0.3">
      <c r="A14" s="64" t="s">
        <v>197</v>
      </c>
      <c r="B14" s="68">
        <v>411.17</v>
      </c>
      <c r="C14" s="64" t="s">
        <v>197</v>
      </c>
      <c r="D14" s="68">
        <v>199.19499999999999</v>
      </c>
      <c r="E14" s="64" t="s">
        <v>197</v>
      </c>
      <c r="F14" s="68">
        <v>10</v>
      </c>
      <c r="G14" s="64" t="s">
        <v>197</v>
      </c>
      <c r="H14" s="68">
        <v>0.1</v>
      </c>
    </row>
    <row r="15" spans="1:8" x14ac:dyDescent="0.3">
      <c r="A15" s="66" t="s">
        <v>198</v>
      </c>
      <c r="B15" s="69">
        <v>0.14685796564193199</v>
      </c>
      <c r="C15" s="66" t="s">
        <v>198</v>
      </c>
      <c r="D15" s="69">
        <v>0.57339636063424704</v>
      </c>
      <c r="E15" s="66" t="s">
        <v>198</v>
      </c>
      <c r="F15" s="69">
        <v>6.0845864320778202E-2</v>
      </c>
      <c r="G15" s="66" t="s">
        <v>198</v>
      </c>
      <c r="H15" s="69">
        <v>9.6827385576684105E-2</v>
      </c>
    </row>
    <row r="16" spans="1:8" x14ac:dyDescent="0.3">
      <c r="A16" s="64" t="s">
        <v>199</v>
      </c>
      <c r="B16" s="70">
        <v>-8.8595231919745804E-2</v>
      </c>
      <c r="C16" s="64" t="s">
        <v>199</v>
      </c>
      <c r="D16" s="70">
        <v>0.26450643813582603</v>
      </c>
      <c r="E16" s="64" t="s">
        <v>199</v>
      </c>
      <c r="F16" s="70">
        <v>-1.2091053826620699</v>
      </c>
      <c r="G16" s="64" t="s">
        <v>199</v>
      </c>
      <c r="H16" s="70">
        <v>-1.32570124158558</v>
      </c>
    </row>
    <row r="17" spans="1:8" x14ac:dyDescent="0.3">
      <c r="A17" s="66" t="s">
        <v>200</v>
      </c>
      <c r="B17" s="67">
        <v>195217.76</v>
      </c>
      <c r="C17" s="66" t="s">
        <v>200</v>
      </c>
      <c r="D17" s="67">
        <v>68287.009999999995</v>
      </c>
      <c r="E17" s="66" t="s">
        <v>200</v>
      </c>
      <c r="F17" s="67">
        <v>1999</v>
      </c>
      <c r="G17" s="66" t="s">
        <v>200</v>
      </c>
      <c r="H17" s="67">
        <v>19.45</v>
      </c>
    </row>
    <row r="18" spans="1:8" x14ac:dyDescent="0.3">
      <c r="A18" s="64" t="s">
        <v>201</v>
      </c>
      <c r="B18" s="71">
        <v>30.660505386248001</v>
      </c>
      <c r="C18" s="64" t="s">
        <v>201</v>
      </c>
      <c r="D18" s="71">
        <v>39.763402748258102</v>
      </c>
      <c r="E18" s="64" t="s">
        <v>201</v>
      </c>
      <c r="F18" s="71">
        <v>56.494517708499302</v>
      </c>
      <c r="G18" s="64" t="s">
        <v>201</v>
      </c>
      <c r="H18" s="71">
        <v>74.371511684683796</v>
      </c>
    </row>
    <row r="20" spans="1:8" x14ac:dyDescent="0.3">
      <c r="A20" s="108" t="s">
        <v>202</v>
      </c>
      <c r="B20" s="108"/>
      <c r="C20" s="108"/>
      <c r="D20" s="108"/>
      <c r="E20" s="108"/>
      <c r="F20" s="108"/>
      <c r="G20" s="108"/>
      <c r="H20" s="108"/>
    </row>
    <row r="21" spans="1:8" x14ac:dyDescent="0.3">
      <c r="A21" s="109" t="s">
        <v>203</v>
      </c>
      <c r="B21" s="109"/>
      <c r="C21" s="109"/>
      <c r="D21" s="109"/>
      <c r="E21" s="109"/>
      <c r="F21" s="109"/>
      <c r="G21" s="109"/>
      <c r="H21" s="109"/>
    </row>
    <row r="22" spans="1:8" x14ac:dyDescent="0.3">
      <c r="A22" s="109" t="s">
        <v>204</v>
      </c>
      <c r="B22" s="109"/>
      <c r="C22" s="109"/>
      <c r="D22" s="109"/>
      <c r="E22" s="109"/>
      <c r="F22" s="109"/>
      <c r="G22" s="109"/>
      <c r="H22" s="109"/>
    </row>
    <row r="23" spans="1:8" x14ac:dyDescent="0.3">
      <c r="A23" s="109" t="s">
        <v>205</v>
      </c>
      <c r="B23" s="109"/>
      <c r="C23" s="109"/>
      <c r="D23" s="109"/>
      <c r="E23" s="109"/>
      <c r="F23" s="109"/>
      <c r="G23" s="109"/>
      <c r="H23" s="109"/>
    </row>
    <row r="24" spans="1:8" x14ac:dyDescent="0.3">
      <c r="A24" s="109" t="s">
        <v>206</v>
      </c>
      <c r="B24" s="109"/>
      <c r="C24" s="109"/>
      <c r="D24" s="109"/>
      <c r="E24" s="109"/>
      <c r="F24" s="109"/>
      <c r="G24" s="109"/>
      <c r="H24" s="109"/>
    </row>
  </sheetData>
  <mergeCells count="10">
    <mergeCell ref="A20:H20"/>
    <mergeCell ref="A21:H21"/>
    <mergeCell ref="A22:H22"/>
    <mergeCell ref="A23:H23"/>
    <mergeCell ref="A24:H24"/>
    <mergeCell ref="A1:G1"/>
    <mergeCell ref="A2:B2"/>
    <mergeCell ref="C2:D2"/>
    <mergeCell ref="E2:F2"/>
    <mergeCell ref="G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14" customWidth="1"/>
    <col min="2" max="4" width="16" customWidth="1"/>
    <col min="5" max="5" width="20" customWidth="1"/>
    <col min="6" max="6" width="16" customWidth="1"/>
  </cols>
  <sheetData>
    <row r="1" spans="1:6" ht="27.75" customHeight="1" x14ac:dyDescent="0.3">
      <c r="A1" s="100" t="s">
        <v>207</v>
      </c>
      <c r="B1" s="100"/>
      <c r="C1" s="100"/>
      <c r="D1" s="100"/>
      <c r="E1" s="100"/>
      <c r="F1" s="100"/>
    </row>
    <row r="2" spans="1:6" ht="27.6" x14ac:dyDescent="0.3">
      <c r="A2" s="3" t="s">
        <v>208</v>
      </c>
      <c r="B2" s="3" t="s">
        <v>125</v>
      </c>
      <c r="C2" s="3" t="s">
        <v>209</v>
      </c>
      <c r="D2" s="3" t="s">
        <v>210</v>
      </c>
      <c r="E2" s="3" t="s">
        <v>211</v>
      </c>
      <c r="F2" s="3" t="s">
        <v>171</v>
      </c>
    </row>
    <row r="3" spans="1:6" x14ac:dyDescent="0.3">
      <c r="A3" s="72" t="s">
        <v>212</v>
      </c>
      <c r="B3" s="73">
        <v>19029.96</v>
      </c>
      <c r="C3" s="62" t="s">
        <v>6</v>
      </c>
      <c r="D3" s="62" t="s">
        <v>6</v>
      </c>
      <c r="E3" s="62" t="s">
        <v>6</v>
      </c>
      <c r="F3" s="62" t="s">
        <v>6</v>
      </c>
    </row>
    <row r="4" spans="1:6" x14ac:dyDescent="0.3">
      <c r="A4" s="72" t="s">
        <v>213</v>
      </c>
      <c r="B4" s="73">
        <v>18507.34</v>
      </c>
      <c r="C4" s="74">
        <v>-522.61999999999898</v>
      </c>
      <c r="D4" s="75">
        <v>-2.7463010957458601E-2</v>
      </c>
      <c r="E4" s="76" t="s">
        <v>214</v>
      </c>
      <c r="F4" s="77" t="s">
        <v>215</v>
      </c>
    </row>
    <row r="5" spans="1:6" x14ac:dyDescent="0.3">
      <c r="A5" s="72" t="s">
        <v>216</v>
      </c>
      <c r="B5" s="73">
        <v>20187.509999999998</v>
      </c>
      <c r="C5" s="78">
        <v>1680.17</v>
      </c>
      <c r="D5" s="79">
        <v>9.0783980842195494E-2</v>
      </c>
      <c r="E5" s="80" t="s">
        <v>217</v>
      </c>
      <c r="F5" s="81" t="s">
        <v>218</v>
      </c>
    </row>
    <row r="6" spans="1:6" x14ac:dyDescent="0.3">
      <c r="A6" s="72" t="s">
        <v>219</v>
      </c>
      <c r="B6" s="73">
        <v>11609.04</v>
      </c>
      <c r="C6" s="74">
        <v>-8578.4699999999993</v>
      </c>
      <c r="D6" s="75">
        <v>-0.42493947990614001</v>
      </c>
      <c r="E6" s="82" t="s">
        <v>220</v>
      </c>
      <c r="F6" s="77" t="s">
        <v>221</v>
      </c>
    </row>
    <row r="7" spans="1:6" x14ac:dyDescent="0.3">
      <c r="A7" s="72" t="s">
        <v>222</v>
      </c>
      <c r="B7" s="73">
        <v>10091.700000000001</v>
      </c>
      <c r="C7" s="74">
        <v>-1517.34</v>
      </c>
      <c r="D7" s="75">
        <v>-0.130703313969114</v>
      </c>
      <c r="E7" s="82" t="s">
        <v>220</v>
      </c>
      <c r="F7" s="77" t="s">
        <v>221</v>
      </c>
    </row>
    <row r="8" spans="1:6" x14ac:dyDescent="0.3">
      <c r="A8" s="72" t="s">
        <v>223</v>
      </c>
      <c r="B8" s="73">
        <v>20533.5</v>
      </c>
      <c r="C8" s="78">
        <v>10441.799999999999</v>
      </c>
      <c r="D8" s="79">
        <v>1.0346918755016501</v>
      </c>
      <c r="E8" s="80" t="s">
        <v>217</v>
      </c>
      <c r="F8" s="81" t="s">
        <v>218</v>
      </c>
    </row>
    <row r="9" spans="1:6" x14ac:dyDescent="0.3">
      <c r="A9" s="72" t="s">
        <v>224</v>
      </c>
      <c r="B9" s="73">
        <v>14215.24</v>
      </c>
      <c r="C9" s="74">
        <v>-6318.26</v>
      </c>
      <c r="D9" s="75">
        <v>-0.30770496992719198</v>
      </c>
      <c r="E9" s="82" t="s">
        <v>220</v>
      </c>
      <c r="F9" s="77" t="s">
        <v>221</v>
      </c>
    </row>
    <row r="10" spans="1:6" x14ac:dyDescent="0.3">
      <c r="A10" s="72" t="s">
        <v>225</v>
      </c>
      <c r="B10" s="73">
        <v>20135.03</v>
      </c>
      <c r="C10" s="78">
        <v>5919.79</v>
      </c>
      <c r="D10" s="79">
        <v>0.41643968023051298</v>
      </c>
      <c r="E10" s="80" t="s">
        <v>217</v>
      </c>
      <c r="F10" s="81" t="s">
        <v>218</v>
      </c>
    </row>
    <row r="11" spans="1:6" x14ac:dyDescent="0.3">
      <c r="A11" s="72" t="s">
        <v>226</v>
      </c>
      <c r="B11" s="73">
        <v>11120.04</v>
      </c>
      <c r="C11" s="74">
        <v>-9014.99</v>
      </c>
      <c r="D11" s="75">
        <v>-0.44772667336477801</v>
      </c>
      <c r="E11" s="82" t="s">
        <v>220</v>
      </c>
      <c r="F11" s="77" t="s">
        <v>221</v>
      </c>
    </row>
    <row r="12" spans="1:6" x14ac:dyDescent="0.3">
      <c r="A12" s="72" t="s">
        <v>227</v>
      </c>
      <c r="B12" s="73">
        <v>14914.65</v>
      </c>
      <c r="C12" s="78">
        <v>3794.61</v>
      </c>
      <c r="D12" s="79">
        <v>0.34124067899036298</v>
      </c>
      <c r="E12" s="80" t="s">
        <v>217</v>
      </c>
      <c r="F12" s="81" t="s">
        <v>218</v>
      </c>
    </row>
    <row r="13" spans="1:6" x14ac:dyDescent="0.3">
      <c r="A13" s="72" t="s">
        <v>228</v>
      </c>
      <c r="B13" s="73">
        <v>14006.36</v>
      </c>
      <c r="C13" s="74">
        <v>-908.29000000000099</v>
      </c>
      <c r="D13" s="75">
        <v>-6.0899183018039399E-2</v>
      </c>
      <c r="E13" s="82" t="s">
        <v>220</v>
      </c>
      <c r="F13" s="77" t="s">
        <v>221</v>
      </c>
    </row>
    <row r="14" spans="1:6" x14ac:dyDescent="0.3">
      <c r="A14" s="72" t="s">
        <v>229</v>
      </c>
      <c r="B14" s="73">
        <v>17655.22</v>
      </c>
      <c r="C14" s="78">
        <v>3648.86</v>
      </c>
      <c r="D14" s="79">
        <v>0.26051450912299901</v>
      </c>
      <c r="E14" s="80" t="s">
        <v>217</v>
      </c>
      <c r="F14" s="81" t="s">
        <v>218</v>
      </c>
    </row>
    <row r="15" spans="1:6" x14ac:dyDescent="0.3">
      <c r="A15" s="72" t="s">
        <v>230</v>
      </c>
      <c r="B15" s="73">
        <v>3212.17</v>
      </c>
      <c r="C15" s="74">
        <v>-14443.05</v>
      </c>
      <c r="D15" s="75">
        <v>-0.81806117397574196</v>
      </c>
      <c r="E15" s="82" t="s">
        <v>220</v>
      </c>
      <c r="F15" s="77" t="s">
        <v>221</v>
      </c>
    </row>
    <row r="17" spans="1:6" x14ac:dyDescent="0.3">
      <c r="A17" s="110" t="s">
        <v>231</v>
      </c>
      <c r="B17" s="110"/>
      <c r="C17" s="110"/>
      <c r="D17" s="110"/>
      <c r="E17" s="110"/>
      <c r="F17" s="110"/>
    </row>
  </sheetData>
  <mergeCells count="2">
    <mergeCell ref="A1:F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zoomScaleNormal="100" workbookViewId="0">
      <selection sqref="A1:H1"/>
    </sheetView>
  </sheetViews>
  <sheetFormatPr defaultColWidth="8.6640625" defaultRowHeight="14.4" x14ac:dyDescent="0.3"/>
  <cols>
    <col min="1" max="1" width="13" customWidth="1"/>
    <col min="2" max="2" width="20" customWidth="1"/>
    <col min="3" max="4" width="14" customWidth="1"/>
    <col min="5" max="5" width="9" customWidth="1"/>
    <col min="6" max="6" width="14" customWidth="1"/>
    <col min="7" max="7" width="16" customWidth="1"/>
    <col min="8" max="8" width="14" customWidth="1"/>
  </cols>
  <sheetData>
    <row r="1" spans="1:8" ht="27.75" customHeight="1" x14ac:dyDescent="0.3">
      <c r="A1" s="100" t="s">
        <v>232</v>
      </c>
      <c r="B1" s="100"/>
      <c r="C1" s="100"/>
      <c r="D1" s="100"/>
      <c r="E1" s="100"/>
      <c r="F1" s="100"/>
      <c r="G1" s="100"/>
      <c r="H1" s="100"/>
    </row>
    <row r="2" spans="1:8" ht="27.6" x14ac:dyDescent="0.3">
      <c r="A2" s="3" t="s">
        <v>47</v>
      </c>
      <c r="B2" s="3" t="s">
        <v>48</v>
      </c>
      <c r="C2" s="3" t="s">
        <v>125</v>
      </c>
      <c r="D2" s="3" t="s">
        <v>126</v>
      </c>
      <c r="E2" s="3" t="s">
        <v>233</v>
      </c>
      <c r="F2" s="3" t="s">
        <v>234</v>
      </c>
      <c r="G2" s="3" t="s">
        <v>235</v>
      </c>
      <c r="H2" s="3" t="s">
        <v>236</v>
      </c>
    </row>
    <row r="3" spans="1:8" x14ac:dyDescent="0.3">
      <c r="A3" s="55" t="s">
        <v>105</v>
      </c>
      <c r="B3" s="83" t="s">
        <v>100</v>
      </c>
      <c r="C3" s="73">
        <v>11611.06</v>
      </c>
      <c r="D3" s="73">
        <v>4201.59</v>
      </c>
      <c r="E3" s="55">
        <v>11</v>
      </c>
      <c r="F3" s="73">
        <v>1055.55090909091</v>
      </c>
      <c r="G3" s="55" t="s">
        <v>62</v>
      </c>
      <c r="H3" s="84" t="s">
        <v>237</v>
      </c>
    </row>
    <row r="4" spans="1:8" x14ac:dyDescent="0.3">
      <c r="A4" s="55" t="s">
        <v>99</v>
      </c>
      <c r="B4" s="83" t="s">
        <v>100</v>
      </c>
      <c r="C4" s="73">
        <v>10293.870000000001</v>
      </c>
      <c r="D4" s="73">
        <v>3541.02</v>
      </c>
      <c r="E4" s="55">
        <v>12</v>
      </c>
      <c r="F4" s="73">
        <v>857.82249999999999</v>
      </c>
      <c r="G4" s="55" t="s">
        <v>86</v>
      </c>
      <c r="H4" s="84" t="s">
        <v>237</v>
      </c>
    </row>
    <row r="5" spans="1:8" x14ac:dyDescent="0.3">
      <c r="A5" s="55" t="s">
        <v>72</v>
      </c>
      <c r="B5" s="83" t="s">
        <v>73</v>
      </c>
      <c r="C5" s="73">
        <v>9941.8799999999992</v>
      </c>
      <c r="D5" s="73">
        <v>3936.26</v>
      </c>
      <c r="E5" s="55">
        <v>10</v>
      </c>
      <c r="F5" s="73">
        <v>994.18799999999999</v>
      </c>
      <c r="G5" s="55" t="s">
        <v>59</v>
      </c>
      <c r="H5" s="84" t="s">
        <v>237</v>
      </c>
    </row>
    <row r="6" spans="1:8" x14ac:dyDescent="0.3">
      <c r="A6" s="55" t="s">
        <v>91</v>
      </c>
      <c r="B6" s="83" t="s">
        <v>61</v>
      </c>
      <c r="C6" s="73">
        <v>9760.7999999999993</v>
      </c>
      <c r="D6" s="73">
        <v>3442.48</v>
      </c>
      <c r="E6" s="55">
        <v>10</v>
      </c>
      <c r="F6" s="73">
        <v>976.08</v>
      </c>
      <c r="G6" s="55" t="s">
        <v>86</v>
      </c>
      <c r="H6" s="85" t="s">
        <v>238</v>
      </c>
    </row>
    <row r="7" spans="1:8" x14ac:dyDescent="0.3">
      <c r="A7" s="55" t="s">
        <v>77</v>
      </c>
      <c r="B7" s="83" t="s">
        <v>78</v>
      </c>
      <c r="C7" s="73">
        <v>9371.81</v>
      </c>
      <c r="D7" s="73">
        <v>2922.02</v>
      </c>
      <c r="E7" s="55">
        <v>9</v>
      </c>
      <c r="F7" s="73">
        <v>1041.31222222222</v>
      </c>
      <c r="G7" s="55" t="s">
        <v>74</v>
      </c>
      <c r="H7" s="85" t="s">
        <v>238</v>
      </c>
    </row>
    <row r="8" spans="1:8" x14ac:dyDescent="0.3">
      <c r="A8" s="55" t="s">
        <v>104</v>
      </c>
      <c r="B8" s="83" t="s">
        <v>90</v>
      </c>
      <c r="C8" s="73">
        <v>8740.18</v>
      </c>
      <c r="D8" s="73">
        <v>2848.62</v>
      </c>
      <c r="E8" s="55">
        <v>8</v>
      </c>
      <c r="F8" s="73">
        <v>1092.5225</v>
      </c>
      <c r="G8" s="55" t="s">
        <v>59</v>
      </c>
      <c r="H8" s="85" t="s">
        <v>238</v>
      </c>
    </row>
    <row r="9" spans="1:8" x14ac:dyDescent="0.3">
      <c r="A9" s="55" t="s">
        <v>114</v>
      </c>
      <c r="B9" s="83" t="s">
        <v>85</v>
      </c>
      <c r="C9" s="73">
        <v>8490.18</v>
      </c>
      <c r="D9" s="73">
        <v>2652.75</v>
      </c>
      <c r="E9" s="55">
        <v>9</v>
      </c>
      <c r="F9" s="73">
        <v>943.35333333333301</v>
      </c>
      <c r="G9" s="55" t="s">
        <v>68</v>
      </c>
      <c r="H9" s="85" t="s">
        <v>238</v>
      </c>
    </row>
    <row r="10" spans="1:8" x14ac:dyDescent="0.3">
      <c r="A10" s="55" t="s">
        <v>60</v>
      </c>
      <c r="B10" s="83" t="s">
        <v>61</v>
      </c>
      <c r="C10" s="73">
        <v>8339</v>
      </c>
      <c r="D10" s="73">
        <v>2988.71</v>
      </c>
      <c r="E10" s="55">
        <v>9</v>
      </c>
      <c r="F10" s="73">
        <v>926.555555555556</v>
      </c>
      <c r="G10" s="55" t="s">
        <v>62</v>
      </c>
      <c r="H10" s="85" t="s">
        <v>238</v>
      </c>
    </row>
    <row r="11" spans="1:8" x14ac:dyDescent="0.3">
      <c r="A11" s="55" t="s">
        <v>69</v>
      </c>
      <c r="B11" s="83" t="s">
        <v>70</v>
      </c>
      <c r="C11" s="73">
        <v>7928.71</v>
      </c>
      <c r="D11" s="73">
        <v>2965.48</v>
      </c>
      <c r="E11" s="55">
        <v>9</v>
      </c>
      <c r="F11" s="73">
        <v>880.967777777778</v>
      </c>
      <c r="G11" s="55" t="s">
        <v>59</v>
      </c>
      <c r="H11" s="81" t="s">
        <v>239</v>
      </c>
    </row>
    <row r="12" spans="1:8" x14ac:dyDescent="0.3">
      <c r="A12" s="55" t="s">
        <v>119</v>
      </c>
      <c r="B12" s="83" t="s">
        <v>92</v>
      </c>
      <c r="C12" s="73">
        <v>7813.59</v>
      </c>
      <c r="D12" s="73">
        <v>3211.82</v>
      </c>
      <c r="E12" s="55">
        <v>7</v>
      </c>
      <c r="F12" s="73">
        <v>1116.2271428571401</v>
      </c>
      <c r="G12" s="55" t="s">
        <v>86</v>
      </c>
      <c r="H12" s="81" t="s">
        <v>239</v>
      </c>
    </row>
    <row r="13" spans="1:8" x14ac:dyDescent="0.3">
      <c r="A13" s="55" t="s">
        <v>117</v>
      </c>
      <c r="B13" s="83" t="s">
        <v>102</v>
      </c>
      <c r="C13" s="73">
        <v>7583.13</v>
      </c>
      <c r="D13" s="73">
        <v>2492.1</v>
      </c>
      <c r="E13" s="55">
        <v>7</v>
      </c>
      <c r="F13" s="73">
        <v>1083.30428571429</v>
      </c>
      <c r="G13" s="55" t="s">
        <v>68</v>
      </c>
      <c r="H13" s="81" t="s">
        <v>239</v>
      </c>
    </row>
    <row r="14" spans="1:8" x14ac:dyDescent="0.3">
      <c r="A14" s="55" t="s">
        <v>84</v>
      </c>
      <c r="B14" s="83" t="s">
        <v>85</v>
      </c>
      <c r="C14" s="73">
        <v>6729.89</v>
      </c>
      <c r="D14" s="73">
        <v>2507.1799999999998</v>
      </c>
      <c r="E14" s="55">
        <v>6</v>
      </c>
      <c r="F14" s="73">
        <v>1121.6483333333299</v>
      </c>
      <c r="G14" s="55" t="s">
        <v>59</v>
      </c>
      <c r="H14" s="81" t="s">
        <v>239</v>
      </c>
    </row>
    <row r="15" spans="1:8" x14ac:dyDescent="0.3">
      <c r="A15" s="55" t="s">
        <v>101</v>
      </c>
      <c r="B15" s="83" t="s">
        <v>102</v>
      </c>
      <c r="C15" s="73">
        <v>6716.52</v>
      </c>
      <c r="D15" s="73">
        <v>2327.84</v>
      </c>
      <c r="E15" s="55">
        <v>6</v>
      </c>
      <c r="F15" s="73">
        <v>1119.42</v>
      </c>
      <c r="G15" s="55" t="s">
        <v>86</v>
      </c>
      <c r="H15" s="81" t="s">
        <v>239</v>
      </c>
    </row>
    <row r="16" spans="1:8" x14ac:dyDescent="0.3">
      <c r="A16" s="55" t="s">
        <v>66</v>
      </c>
      <c r="B16" s="83" t="s">
        <v>61</v>
      </c>
      <c r="C16" s="73">
        <v>6666.13</v>
      </c>
      <c r="D16" s="73">
        <v>1982.39</v>
      </c>
      <c r="E16" s="55">
        <v>6</v>
      </c>
      <c r="F16" s="73">
        <v>1111.0216666666699</v>
      </c>
      <c r="G16" s="55" t="s">
        <v>68</v>
      </c>
      <c r="H16" s="81" t="s">
        <v>239</v>
      </c>
    </row>
    <row r="17" spans="1:8" x14ac:dyDescent="0.3">
      <c r="A17" s="55" t="s">
        <v>75</v>
      </c>
      <c r="B17" s="83" t="s">
        <v>76</v>
      </c>
      <c r="C17" s="73">
        <v>6549.55</v>
      </c>
      <c r="D17" s="73">
        <v>1868.77</v>
      </c>
      <c r="E17" s="55">
        <v>7</v>
      </c>
      <c r="F17" s="73">
        <v>935.65</v>
      </c>
      <c r="G17" s="55" t="s">
        <v>74</v>
      </c>
      <c r="H17" s="81" t="s">
        <v>239</v>
      </c>
    </row>
    <row r="18" spans="1:8" x14ac:dyDescent="0.3">
      <c r="A18" s="55" t="s">
        <v>79</v>
      </c>
      <c r="B18" s="83" t="s">
        <v>80</v>
      </c>
      <c r="C18" s="73">
        <v>6505.2</v>
      </c>
      <c r="D18" s="73">
        <v>2052.54</v>
      </c>
      <c r="E18" s="55">
        <v>7</v>
      </c>
      <c r="F18" s="73">
        <v>929.31428571428603</v>
      </c>
      <c r="G18" s="55" t="s">
        <v>59</v>
      </c>
      <c r="H18" s="81" t="s">
        <v>239</v>
      </c>
    </row>
    <row r="19" spans="1:8" x14ac:dyDescent="0.3">
      <c r="A19" s="55" t="s">
        <v>112</v>
      </c>
      <c r="B19" s="83" t="s">
        <v>95</v>
      </c>
      <c r="C19" s="73">
        <v>6481.43</v>
      </c>
      <c r="D19" s="73">
        <v>2210.7399999999998</v>
      </c>
      <c r="E19" s="55">
        <v>6</v>
      </c>
      <c r="F19" s="73">
        <v>1080.23833333333</v>
      </c>
      <c r="G19" s="55" t="s">
        <v>59</v>
      </c>
      <c r="H19" s="81" t="s">
        <v>239</v>
      </c>
    </row>
    <row r="20" spans="1:8" x14ac:dyDescent="0.3">
      <c r="A20" s="55" t="s">
        <v>87</v>
      </c>
      <c r="B20" s="83" t="s">
        <v>61</v>
      </c>
      <c r="C20" s="73">
        <v>5913.68</v>
      </c>
      <c r="D20" s="73">
        <v>2198.62</v>
      </c>
      <c r="E20" s="55">
        <v>7</v>
      </c>
      <c r="F20" s="73">
        <v>844.81142857142902</v>
      </c>
      <c r="G20" s="55" t="s">
        <v>74</v>
      </c>
      <c r="H20" s="81" t="s">
        <v>239</v>
      </c>
    </row>
    <row r="21" spans="1:8" x14ac:dyDescent="0.3">
      <c r="A21" s="55" t="s">
        <v>88</v>
      </c>
      <c r="B21" s="83" t="s">
        <v>89</v>
      </c>
      <c r="C21" s="73">
        <v>5779.05</v>
      </c>
      <c r="D21" s="73">
        <v>1611.66</v>
      </c>
      <c r="E21" s="55">
        <v>7</v>
      </c>
      <c r="F21" s="73">
        <v>825.57857142857097</v>
      </c>
      <c r="G21" s="55" t="s">
        <v>68</v>
      </c>
      <c r="H21" s="81" t="s">
        <v>239</v>
      </c>
    </row>
    <row r="22" spans="1:8" x14ac:dyDescent="0.3">
      <c r="A22" s="55" t="s">
        <v>122</v>
      </c>
      <c r="B22" s="83" t="s">
        <v>94</v>
      </c>
      <c r="C22" s="73">
        <v>4951.8900000000003</v>
      </c>
      <c r="D22" s="73">
        <v>1821.64</v>
      </c>
      <c r="E22" s="55">
        <v>5</v>
      </c>
      <c r="F22" s="73">
        <v>990.37800000000004</v>
      </c>
      <c r="G22" s="55" t="s">
        <v>59</v>
      </c>
      <c r="H22" s="81" t="s">
        <v>239</v>
      </c>
    </row>
    <row r="23" spans="1:8" x14ac:dyDescent="0.3">
      <c r="A23" s="55" t="s">
        <v>56</v>
      </c>
      <c r="B23" s="83" t="s">
        <v>57</v>
      </c>
      <c r="C23" s="73">
        <v>4640.1099999999997</v>
      </c>
      <c r="D23" s="73">
        <v>1721.12</v>
      </c>
      <c r="E23" s="55">
        <v>5</v>
      </c>
      <c r="F23" s="73">
        <v>928.02200000000005</v>
      </c>
      <c r="G23" s="55" t="s">
        <v>59</v>
      </c>
      <c r="H23" s="81" t="s">
        <v>239</v>
      </c>
    </row>
    <row r="24" spans="1:8" x14ac:dyDescent="0.3">
      <c r="A24" s="55" t="s">
        <v>96</v>
      </c>
      <c r="B24" s="83" t="s">
        <v>61</v>
      </c>
      <c r="C24" s="73">
        <v>4418.28</v>
      </c>
      <c r="D24" s="73">
        <v>1605.23</v>
      </c>
      <c r="E24" s="55">
        <v>5</v>
      </c>
      <c r="F24" s="73">
        <v>883.65599999999995</v>
      </c>
      <c r="G24" s="55" t="s">
        <v>59</v>
      </c>
      <c r="H24" s="81" t="s">
        <v>239</v>
      </c>
    </row>
    <row r="25" spans="1:8" x14ac:dyDescent="0.3">
      <c r="A25" s="55" t="s">
        <v>115</v>
      </c>
      <c r="B25" s="83" t="s">
        <v>102</v>
      </c>
      <c r="C25" s="73">
        <v>4413.71</v>
      </c>
      <c r="D25" s="73">
        <v>1664.79</v>
      </c>
      <c r="E25" s="55">
        <v>4</v>
      </c>
      <c r="F25" s="73">
        <v>1103.4275</v>
      </c>
      <c r="G25" s="55" t="s">
        <v>74</v>
      </c>
      <c r="H25" s="86" t="s">
        <v>240</v>
      </c>
    </row>
    <row r="26" spans="1:8" x14ac:dyDescent="0.3">
      <c r="A26" s="55" t="s">
        <v>82</v>
      </c>
      <c r="B26" s="83" t="s">
        <v>83</v>
      </c>
      <c r="C26" s="73">
        <v>4259.22</v>
      </c>
      <c r="D26" s="73">
        <v>1529.32</v>
      </c>
      <c r="E26" s="55">
        <v>5</v>
      </c>
      <c r="F26" s="73">
        <v>851.84400000000005</v>
      </c>
      <c r="G26" s="55" t="s">
        <v>62</v>
      </c>
      <c r="H26" s="86" t="s">
        <v>240</v>
      </c>
    </row>
    <row r="27" spans="1:8" x14ac:dyDescent="0.3">
      <c r="A27" s="55" t="s">
        <v>120</v>
      </c>
      <c r="B27" s="83" t="s">
        <v>61</v>
      </c>
      <c r="C27" s="73">
        <v>4162.4399999999996</v>
      </c>
      <c r="D27" s="73">
        <v>1605.11</v>
      </c>
      <c r="E27" s="55">
        <v>4</v>
      </c>
      <c r="F27" s="73">
        <v>1040.6099999999999</v>
      </c>
      <c r="G27" s="55" t="s">
        <v>59</v>
      </c>
      <c r="H27" s="86" t="s">
        <v>240</v>
      </c>
    </row>
    <row r="28" spans="1:8" x14ac:dyDescent="0.3">
      <c r="A28" s="55" t="s">
        <v>121</v>
      </c>
      <c r="B28" s="83" t="s">
        <v>85</v>
      </c>
      <c r="C28" s="73">
        <v>3906.04</v>
      </c>
      <c r="D28" s="73">
        <v>1240.6500000000001</v>
      </c>
      <c r="E28" s="55">
        <v>5</v>
      </c>
      <c r="F28" s="73">
        <v>781.20799999999997</v>
      </c>
      <c r="G28" s="55" t="s">
        <v>68</v>
      </c>
      <c r="H28" s="86" t="s">
        <v>240</v>
      </c>
    </row>
    <row r="29" spans="1:8" x14ac:dyDescent="0.3">
      <c r="A29" s="55" t="s">
        <v>110</v>
      </c>
      <c r="B29" s="83" t="s">
        <v>78</v>
      </c>
      <c r="C29" s="73">
        <v>3762.29</v>
      </c>
      <c r="D29" s="73">
        <v>1545.04</v>
      </c>
      <c r="E29" s="55">
        <v>4</v>
      </c>
      <c r="F29" s="73">
        <v>940.57249999999999</v>
      </c>
      <c r="G29" s="55" t="s">
        <v>59</v>
      </c>
      <c r="H29" s="86" t="s">
        <v>240</v>
      </c>
    </row>
    <row r="30" spans="1:8" x14ac:dyDescent="0.3">
      <c r="A30" s="55" t="s">
        <v>63</v>
      </c>
      <c r="B30" s="83" t="s">
        <v>64</v>
      </c>
      <c r="C30" s="73">
        <v>3419.2</v>
      </c>
      <c r="D30" s="73">
        <v>1257.21</v>
      </c>
      <c r="E30" s="55">
        <v>4</v>
      </c>
      <c r="F30" s="73">
        <v>854.8</v>
      </c>
      <c r="G30" s="55" t="s">
        <v>59</v>
      </c>
      <c r="H30" s="86" t="s">
        <v>240</v>
      </c>
    </row>
    <row r="31" spans="1:8" x14ac:dyDescent="0.3">
      <c r="A31" s="55" t="s">
        <v>107</v>
      </c>
      <c r="B31" s="83" t="s">
        <v>108</v>
      </c>
      <c r="C31" s="73">
        <v>3369.17</v>
      </c>
      <c r="D31" s="73">
        <v>1497.25</v>
      </c>
      <c r="E31" s="55">
        <v>4</v>
      </c>
      <c r="F31" s="73">
        <v>842.29250000000002</v>
      </c>
      <c r="G31" s="55" t="s">
        <v>62</v>
      </c>
      <c r="H31" s="86" t="s">
        <v>240</v>
      </c>
    </row>
    <row r="32" spans="1:8" x14ac:dyDescent="0.3">
      <c r="A32" s="55" t="s">
        <v>93</v>
      </c>
      <c r="B32" s="83" t="s">
        <v>94</v>
      </c>
      <c r="C32" s="73">
        <v>2699.75</v>
      </c>
      <c r="D32" s="73">
        <v>837.06</v>
      </c>
      <c r="E32" s="55">
        <v>2</v>
      </c>
      <c r="F32" s="73">
        <v>1349.875</v>
      </c>
      <c r="G32" s="55" t="s">
        <v>59</v>
      </c>
      <c r="H32" s="86" t="s">
        <v>240</v>
      </c>
    </row>
    <row r="34" spans="1:5" x14ac:dyDescent="0.3">
      <c r="A34" s="111" t="s">
        <v>241</v>
      </c>
      <c r="B34" s="111"/>
      <c r="C34" s="111"/>
      <c r="D34" s="111"/>
      <c r="E34" s="111"/>
    </row>
    <row r="35" spans="1:5" x14ac:dyDescent="0.3">
      <c r="A35" s="31" t="s">
        <v>242</v>
      </c>
      <c r="B35" s="85" t="s">
        <v>72</v>
      </c>
      <c r="C35" s="1" t="s">
        <v>243</v>
      </c>
    </row>
    <row r="36" spans="1:5" x14ac:dyDescent="0.3">
      <c r="A36" s="31" t="s">
        <v>244</v>
      </c>
      <c r="B36" s="87" t="str">
        <f>IFERROR(INDEX(B3:B33,MATCH(B35,A3:A33,0)),"Not Found")</f>
        <v>Michael Anderson</v>
      </c>
      <c r="C36" s="1" t="s">
        <v>245</v>
      </c>
    </row>
    <row r="37" spans="1:5" x14ac:dyDescent="0.3">
      <c r="A37" s="31" t="s">
        <v>246</v>
      </c>
      <c r="B37" s="88">
        <f>IFERROR(INDEX(C3:C33,MATCH(B35,A3:A33,0)),"Not Found")</f>
        <v>9941.8799999999992</v>
      </c>
      <c r="C37" s="1" t="s">
        <v>245</v>
      </c>
    </row>
    <row r="38" spans="1:5" x14ac:dyDescent="0.3">
      <c r="A38" s="31" t="s">
        <v>247</v>
      </c>
      <c r="B38" s="88">
        <f>IFERROR(INDEX(D3:D33,MATCH(B35,A3:A33,0)),"Not Found")</f>
        <v>3936.26</v>
      </c>
      <c r="C38" s="1" t="s">
        <v>245</v>
      </c>
    </row>
    <row r="39" spans="1:5" x14ac:dyDescent="0.3">
      <c r="A39" s="31" t="s">
        <v>236</v>
      </c>
      <c r="B39" s="87" t="str">
        <f>IFERROR(INDEX(H3:H33,MATCH(B35,A3:A33,0)),"Not Found")</f>
        <v>🏆 Platinum</v>
      </c>
      <c r="C39" s="1" t="s">
        <v>245</v>
      </c>
    </row>
  </sheetData>
  <mergeCells count="2">
    <mergeCell ref="A1:H1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zoomScaleNormal="100" workbookViewId="0">
      <selection sqref="A1:H1"/>
    </sheetView>
  </sheetViews>
  <sheetFormatPr defaultColWidth="8.6640625" defaultRowHeight="14.4" x14ac:dyDescent="0.3"/>
  <cols>
    <col min="1" max="8" width="16" customWidth="1"/>
  </cols>
  <sheetData>
    <row r="1" spans="1:8" ht="27.75" customHeight="1" x14ac:dyDescent="0.3">
      <c r="A1" s="100" t="s">
        <v>248</v>
      </c>
      <c r="B1" s="100"/>
      <c r="C1" s="100"/>
      <c r="D1" s="100"/>
      <c r="E1" s="100"/>
      <c r="F1" s="100"/>
      <c r="G1" s="100"/>
      <c r="H1" s="100"/>
    </row>
    <row r="2" spans="1:8" ht="27.6" x14ac:dyDescent="0.3">
      <c r="A2" s="4" t="s">
        <v>249</v>
      </c>
      <c r="B2" s="3" t="s">
        <v>59</v>
      </c>
      <c r="C2" s="3" t="s">
        <v>62</v>
      </c>
      <c r="D2" s="3" t="s">
        <v>68</v>
      </c>
      <c r="E2" s="3" t="s">
        <v>74</v>
      </c>
      <c r="F2" s="3" t="s">
        <v>86</v>
      </c>
      <c r="G2" s="89" t="s">
        <v>250</v>
      </c>
    </row>
    <row r="3" spans="1:8" x14ac:dyDescent="0.3">
      <c r="A3" s="6" t="s">
        <v>81</v>
      </c>
      <c r="B3" s="90">
        <v>11297.15</v>
      </c>
      <c r="C3" s="90">
        <v>12200.26</v>
      </c>
      <c r="D3" s="90">
        <v>6621.24</v>
      </c>
      <c r="E3" s="90">
        <v>4876.96</v>
      </c>
      <c r="F3" s="90">
        <v>8472.7199999999993</v>
      </c>
      <c r="G3" s="90">
        <v>43468.33</v>
      </c>
    </row>
    <row r="4" spans="1:8" x14ac:dyDescent="0.3">
      <c r="A4" s="9" t="s">
        <v>65</v>
      </c>
      <c r="B4" s="91">
        <v>11389.09</v>
      </c>
      <c r="C4" s="91">
        <v>2401.4499999999998</v>
      </c>
      <c r="D4" s="91">
        <v>2869.54</v>
      </c>
      <c r="E4" s="91">
        <v>7592.34</v>
      </c>
      <c r="F4" s="91">
        <v>8189.22</v>
      </c>
      <c r="G4" s="91">
        <v>32441.64</v>
      </c>
    </row>
    <row r="5" spans="1:8" x14ac:dyDescent="0.3">
      <c r="A5" s="6" t="s">
        <v>71</v>
      </c>
      <c r="B5" s="90">
        <v>8037.01</v>
      </c>
      <c r="C5" s="90">
        <v>8422.82</v>
      </c>
      <c r="D5" s="90">
        <v>8191.71</v>
      </c>
      <c r="E5" s="90">
        <v>6978.08</v>
      </c>
      <c r="F5" s="90">
        <v>3345.8</v>
      </c>
      <c r="G5" s="90">
        <v>34975.42</v>
      </c>
    </row>
    <row r="6" spans="1:8" x14ac:dyDescent="0.3">
      <c r="A6" s="9" t="s">
        <v>67</v>
      </c>
      <c r="B6" s="91">
        <v>9588.0400000000009</v>
      </c>
      <c r="C6" s="91">
        <v>8393.6299999999992</v>
      </c>
      <c r="D6" s="91">
        <v>11989.07</v>
      </c>
      <c r="E6" s="91">
        <v>7982.73</v>
      </c>
      <c r="F6" s="91">
        <v>2295.3200000000002</v>
      </c>
      <c r="G6" s="91">
        <v>40248.79</v>
      </c>
    </row>
    <row r="7" spans="1:8" x14ac:dyDescent="0.3">
      <c r="A7" s="6" t="s">
        <v>58</v>
      </c>
      <c r="B7" s="90">
        <v>6691.17</v>
      </c>
      <c r="C7" s="90">
        <v>10509.43</v>
      </c>
      <c r="D7" s="90">
        <v>11372.44</v>
      </c>
      <c r="E7" s="90">
        <v>9182.7800000000007</v>
      </c>
      <c r="F7" s="90">
        <v>6327.76</v>
      </c>
      <c r="G7" s="90">
        <v>44083.58</v>
      </c>
    </row>
    <row r="8" spans="1:8" x14ac:dyDescent="0.3">
      <c r="A8" s="92" t="s">
        <v>250</v>
      </c>
      <c r="B8" s="93">
        <v>47002.46</v>
      </c>
      <c r="C8" s="93">
        <v>41927.589999999997</v>
      </c>
      <c r="D8" s="93">
        <v>41044</v>
      </c>
      <c r="E8" s="93">
        <v>36612.89</v>
      </c>
      <c r="F8" s="93">
        <v>28630.82</v>
      </c>
      <c r="G8" s="93">
        <v>195217.76</v>
      </c>
    </row>
    <row r="11" spans="1:8" x14ac:dyDescent="0.3">
      <c r="A11" s="112" t="s">
        <v>251</v>
      </c>
      <c r="B11" s="112"/>
      <c r="C11" s="112"/>
      <c r="D11" s="112"/>
      <c r="E11" s="112"/>
      <c r="F11" s="112"/>
      <c r="G11" s="112"/>
      <c r="H11" s="112"/>
    </row>
    <row r="12" spans="1:8" ht="27.6" x14ac:dyDescent="0.3">
      <c r="A12" s="94" t="s">
        <v>249</v>
      </c>
      <c r="B12" s="2" t="s">
        <v>59</v>
      </c>
      <c r="C12" s="2" t="s">
        <v>62</v>
      </c>
      <c r="D12" s="2" t="s">
        <v>68</v>
      </c>
      <c r="E12" s="2" t="s">
        <v>74</v>
      </c>
      <c r="F12" s="2" t="s">
        <v>86</v>
      </c>
      <c r="G12" s="95" t="s">
        <v>250</v>
      </c>
    </row>
    <row r="13" spans="1:8" x14ac:dyDescent="0.3">
      <c r="A13" s="6" t="s">
        <v>81</v>
      </c>
      <c r="B13" s="90">
        <v>4201.2700000000004</v>
      </c>
      <c r="C13" s="90">
        <v>5395.6</v>
      </c>
      <c r="D13" s="90">
        <v>1515.04</v>
      </c>
      <c r="E13" s="90">
        <v>1566.46</v>
      </c>
      <c r="F13" s="90">
        <v>3390.03</v>
      </c>
      <c r="G13" s="90">
        <v>16068.4</v>
      </c>
    </row>
    <row r="14" spans="1:8" x14ac:dyDescent="0.3">
      <c r="A14" s="24" t="s">
        <v>65</v>
      </c>
      <c r="B14" s="96">
        <v>4212.63</v>
      </c>
      <c r="C14" s="96">
        <v>1025.1500000000001</v>
      </c>
      <c r="D14" s="96">
        <v>662.68</v>
      </c>
      <c r="E14" s="96">
        <v>2428.08</v>
      </c>
      <c r="F14" s="96">
        <v>3310.05</v>
      </c>
      <c r="G14" s="96">
        <v>11638.59</v>
      </c>
    </row>
    <row r="15" spans="1:8" x14ac:dyDescent="0.3">
      <c r="A15" s="6" t="s">
        <v>71</v>
      </c>
      <c r="B15" s="90">
        <v>2778.44</v>
      </c>
      <c r="C15" s="90">
        <v>3691.09</v>
      </c>
      <c r="D15" s="90">
        <v>1783.05</v>
      </c>
      <c r="E15" s="90">
        <v>2217.7199999999998</v>
      </c>
      <c r="F15" s="90">
        <v>1431.98</v>
      </c>
      <c r="G15" s="90">
        <v>11902.28</v>
      </c>
    </row>
    <row r="16" spans="1:8" x14ac:dyDescent="0.3">
      <c r="A16" s="24" t="s">
        <v>67</v>
      </c>
      <c r="B16" s="96">
        <v>3416.81</v>
      </c>
      <c r="C16" s="96">
        <v>3944.21</v>
      </c>
      <c r="D16" s="96">
        <v>2783.44</v>
      </c>
      <c r="E16" s="96">
        <v>2540.36</v>
      </c>
      <c r="F16" s="96">
        <v>1007.09</v>
      </c>
      <c r="G16" s="96">
        <v>13691.91</v>
      </c>
    </row>
    <row r="17" spans="1:7" x14ac:dyDescent="0.3">
      <c r="A17" s="6" t="s">
        <v>58</v>
      </c>
      <c r="B17" s="90">
        <v>2292.48</v>
      </c>
      <c r="C17" s="90">
        <v>4728.4399999999996</v>
      </c>
      <c r="D17" s="90">
        <v>2437.94</v>
      </c>
      <c r="E17" s="90">
        <v>2826.52</v>
      </c>
      <c r="F17" s="90">
        <v>2700.45</v>
      </c>
      <c r="G17" s="90">
        <v>14985.83</v>
      </c>
    </row>
    <row r="18" spans="1:7" x14ac:dyDescent="0.3">
      <c r="A18" s="97" t="s">
        <v>250</v>
      </c>
      <c r="B18" s="98">
        <v>16901.63</v>
      </c>
      <c r="C18" s="98">
        <v>18784.490000000002</v>
      </c>
      <c r="D18" s="98">
        <v>9182.15</v>
      </c>
      <c r="E18" s="98">
        <v>11579.14</v>
      </c>
      <c r="F18" s="98">
        <v>11839.6</v>
      </c>
      <c r="G18" s="98">
        <v>68287.009999999995</v>
      </c>
    </row>
  </sheetData>
  <mergeCells count="2">
    <mergeCell ref="A1:H1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6"/>
  <sheetViews>
    <sheetView zoomScaleNormal="100" workbookViewId="0">
      <selection sqref="A1:L1"/>
    </sheetView>
  </sheetViews>
  <sheetFormatPr defaultColWidth="8.6640625" defaultRowHeight="14.4" x14ac:dyDescent="0.3"/>
  <cols>
    <col min="1" max="3" width="14" customWidth="1"/>
    <col min="4" max="4" width="52.77734375" customWidth="1"/>
    <col min="5" max="6" width="14" customWidth="1"/>
    <col min="7" max="7" width="22.6640625" customWidth="1"/>
    <col min="8" max="8" width="18" customWidth="1"/>
    <col min="9" max="9" width="14" customWidth="1"/>
  </cols>
  <sheetData>
    <row r="1" spans="1:12" ht="27.75" customHeight="1" x14ac:dyDescent="0.3">
      <c r="A1" s="100" t="s">
        <v>252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3" spans="1:12" ht="27.6" x14ac:dyDescent="0.3">
      <c r="A3" s="3" t="s">
        <v>49</v>
      </c>
      <c r="B3" s="3" t="s">
        <v>125</v>
      </c>
      <c r="C3" s="3" t="s">
        <v>126</v>
      </c>
      <c r="E3" s="3" t="s">
        <v>208</v>
      </c>
      <c r="F3" s="3" t="s">
        <v>253</v>
      </c>
      <c r="H3" s="3" t="s">
        <v>254</v>
      </c>
      <c r="I3" s="3" t="s">
        <v>51</v>
      </c>
    </row>
    <row r="4" spans="1:12" x14ac:dyDescent="0.3">
      <c r="A4" s="55" t="s">
        <v>81</v>
      </c>
      <c r="B4" s="61">
        <v>43468.33</v>
      </c>
      <c r="C4" s="61">
        <v>16068.4</v>
      </c>
      <c r="E4" s="55" t="s">
        <v>212</v>
      </c>
      <c r="F4" s="61">
        <v>19029.96</v>
      </c>
      <c r="H4" s="55" t="s">
        <v>59</v>
      </c>
      <c r="I4" s="61">
        <v>47002.46</v>
      </c>
    </row>
    <row r="5" spans="1:12" x14ac:dyDescent="0.3">
      <c r="A5" s="55" t="s">
        <v>65</v>
      </c>
      <c r="B5" s="61">
        <v>32441.64</v>
      </c>
      <c r="C5" s="61">
        <v>11638.59</v>
      </c>
      <c r="E5" s="55" t="s">
        <v>213</v>
      </c>
      <c r="F5" s="61">
        <v>18507.34</v>
      </c>
      <c r="H5" s="55" t="s">
        <v>62</v>
      </c>
      <c r="I5" s="61">
        <v>41927.589999999997</v>
      </c>
    </row>
    <row r="6" spans="1:12" x14ac:dyDescent="0.3">
      <c r="A6" s="55" t="s">
        <v>71</v>
      </c>
      <c r="B6" s="61">
        <v>34975.42</v>
      </c>
      <c r="C6" s="61">
        <v>11902.28</v>
      </c>
      <c r="E6" s="55" t="s">
        <v>216</v>
      </c>
      <c r="F6" s="61">
        <v>20187.509999999998</v>
      </c>
      <c r="H6" s="55" t="s">
        <v>68</v>
      </c>
      <c r="I6" s="61">
        <v>41044</v>
      </c>
    </row>
    <row r="7" spans="1:12" x14ac:dyDescent="0.3">
      <c r="A7" s="55" t="s">
        <v>67</v>
      </c>
      <c r="B7" s="61">
        <v>40248.79</v>
      </c>
      <c r="C7" s="61">
        <v>13691.91</v>
      </c>
      <c r="E7" s="55" t="s">
        <v>219</v>
      </c>
      <c r="F7" s="61">
        <v>11609.04</v>
      </c>
      <c r="H7" s="55" t="s">
        <v>74</v>
      </c>
      <c r="I7" s="61">
        <v>36612.89</v>
      </c>
    </row>
    <row r="8" spans="1:12" x14ac:dyDescent="0.3">
      <c r="A8" s="55" t="s">
        <v>58</v>
      </c>
      <c r="B8" s="61">
        <v>44083.58</v>
      </c>
      <c r="C8" s="61">
        <v>14985.83</v>
      </c>
      <c r="E8" s="55" t="s">
        <v>222</v>
      </c>
      <c r="F8" s="61">
        <v>10091.700000000001</v>
      </c>
      <c r="H8" s="55" t="s">
        <v>86</v>
      </c>
      <c r="I8" s="61">
        <v>28630.82</v>
      </c>
    </row>
    <row r="9" spans="1:12" x14ac:dyDescent="0.3">
      <c r="E9" s="55" t="s">
        <v>223</v>
      </c>
      <c r="F9" s="61">
        <v>20533.5</v>
      </c>
    </row>
    <row r="10" spans="1:12" x14ac:dyDescent="0.3">
      <c r="E10" s="55" t="s">
        <v>224</v>
      </c>
      <c r="F10" s="61">
        <v>14215.24</v>
      </c>
    </row>
    <row r="11" spans="1:12" x14ac:dyDescent="0.3">
      <c r="E11" s="55" t="s">
        <v>225</v>
      </c>
      <c r="F11" s="61">
        <v>20135.03</v>
      </c>
    </row>
    <row r="12" spans="1:12" x14ac:dyDescent="0.3">
      <c r="E12" s="55" t="s">
        <v>226</v>
      </c>
      <c r="F12" s="61">
        <v>11120.04</v>
      </c>
    </row>
    <row r="13" spans="1:12" x14ac:dyDescent="0.3">
      <c r="E13" s="55" t="s">
        <v>227</v>
      </c>
      <c r="F13" s="61">
        <v>14914.65</v>
      </c>
    </row>
    <row r="14" spans="1:12" x14ac:dyDescent="0.3">
      <c r="E14" s="55" t="s">
        <v>228</v>
      </c>
      <c r="F14" s="61">
        <v>14006.36</v>
      </c>
    </row>
    <row r="15" spans="1:12" x14ac:dyDescent="0.3">
      <c r="E15" s="55" t="s">
        <v>229</v>
      </c>
      <c r="F15" s="61">
        <v>17655.22</v>
      </c>
    </row>
    <row r="16" spans="1:12" x14ac:dyDescent="0.3">
      <c r="E16" s="55" t="s">
        <v>230</v>
      </c>
      <c r="F16" s="61">
        <v>3212.17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"/>
  <sheetViews>
    <sheetView showGridLines="0" topLeftCell="K1" zoomScaleNormal="100" workbookViewId="0">
      <selection sqref="A1:L2"/>
    </sheetView>
  </sheetViews>
  <sheetFormatPr defaultColWidth="8.6640625" defaultRowHeight="14.4" x14ac:dyDescent="0.3"/>
  <cols>
    <col min="1" max="1" width="14" customWidth="1"/>
    <col min="2" max="6" width="10" customWidth="1"/>
    <col min="7" max="7" width="14" customWidth="1"/>
    <col min="8" max="12" width="10" customWidth="1"/>
  </cols>
  <sheetData>
    <row r="1" spans="1:12" ht="36" customHeight="1" x14ac:dyDescent="0.3">
      <c r="A1" s="113" t="s">
        <v>255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6" customHeight="1" x14ac:dyDescent="0.3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8" customHeight="1" x14ac:dyDescent="0.3">
      <c r="A3" s="114" t="s">
        <v>256</v>
      </c>
      <c r="B3" s="114"/>
      <c r="C3" s="114"/>
      <c r="D3" s="115" t="s">
        <v>257</v>
      </c>
      <c r="E3" s="115"/>
      <c r="F3" s="115"/>
      <c r="G3" s="116" t="s">
        <v>258</v>
      </c>
      <c r="H3" s="116"/>
      <c r="I3" s="116"/>
      <c r="J3" s="117" t="s">
        <v>259</v>
      </c>
      <c r="K3" s="117"/>
      <c r="L3" s="117"/>
    </row>
    <row r="4" spans="1:12" ht="24" customHeight="1" x14ac:dyDescent="0.3">
      <c r="A4" s="118" t="s">
        <v>260</v>
      </c>
      <c r="B4" s="118"/>
      <c r="C4" s="118"/>
      <c r="D4" s="119" t="s">
        <v>261</v>
      </c>
      <c r="E4" s="119"/>
      <c r="F4" s="119"/>
      <c r="G4" s="120" t="s">
        <v>262</v>
      </c>
      <c r="H4" s="120"/>
      <c r="I4" s="120"/>
      <c r="J4" s="121" t="s">
        <v>263</v>
      </c>
      <c r="K4" s="121"/>
      <c r="L4" s="121"/>
    </row>
    <row r="5" spans="1:12" ht="18" customHeight="1" x14ac:dyDescent="0.3">
      <c r="A5" s="122" t="s">
        <v>264</v>
      </c>
      <c r="B5" s="122"/>
      <c r="C5" s="122"/>
      <c r="D5" s="123" t="s">
        <v>265</v>
      </c>
      <c r="E5" s="123"/>
      <c r="F5" s="123"/>
      <c r="G5" s="124" t="s">
        <v>266</v>
      </c>
      <c r="H5" s="124"/>
      <c r="I5" s="124"/>
      <c r="J5" s="125" t="s">
        <v>267</v>
      </c>
      <c r="K5" s="125"/>
      <c r="L5" s="125"/>
    </row>
    <row r="7" spans="1:12" ht="18" customHeight="1" x14ac:dyDescent="0.3">
      <c r="A7" s="116" t="s">
        <v>268</v>
      </c>
      <c r="B7" s="116"/>
      <c r="C7" s="116"/>
      <c r="D7" s="126" t="s">
        <v>269</v>
      </c>
      <c r="E7" s="126"/>
      <c r="F7" s="126"/>
      <c r="G7" s="115" t="s">
        <v>270</v>
      </c>
      <c r="H7" s="115"/>
      <c r="I7" s="115"/>
      <c r="J7" s="127" t="s">
        <v>271</v>
      </c>
      <c r="K7" s="127"/>
      <c r="L7" s="127"/>
    </row>
    <row r="8" spans="1:12" ht="24" customHeight="1" x14ac:dyDescent="0.3">
      <c r="A8" s="120" t="s">
        <v>105</v>
      </c>
      <c r="B8" s="120"/>
      <c r="C8" s="120"/>
      <c r="D8" s="128" t="s">
        <v>59</v>
      </c>
      <c r="E8" s="128"/>
      <c r="F8" s="128"/>
      <c r="G8" s="119" t="s">
        <v>58</v>
      </c>
      <c r="H8" s="119"/>
      <c r="I8" s="119"/>
      <c r="J8" s="129" t="s">
        <v>272</v>
      </c>
      <c r="K8" s="129"/>
      <c r="L8" s="129"/>
    </row>
    <row r="9" spans="1:12" ht="18" customHeight="1" x14ac:dyDescent="0.3">
      <c r="A9" s="124" t="s">
        <v>273</v>
      </c>
      <c r="B9" s="124"/>
      <c r="C9" s="124"/>
      <c r="D9" s="130" t="s">
        <v>274</v>
      </c>
      <c r="E9" s="130"/>
      <c r="F9" s="130"/>
      <c r="G9" s="123" t="s">
        <v>275</v>
      </c>
      <c r="H9" s="123"/>
      <c r="I9" s="123"/>
      <c r="J9" s="131" t="s">
        <v>276</v>
      </c>
      <c r="K9" s="131"/>
      <c r="L9" s="131"/>
    </row>
    <row r="28" spans="7:12" x14ac:dyDescent="0.3">
      <c r="G28" s="132" t="s">
        <v>277</v>
      </c>
      <c r="H28" s="132"/>
      <c r="I28" s="132"/>
      <c r="J28" s="132"/>
      <c r="K28" s="132"/>
      <c r="L28" s="132"/>
    </row>
    <row r="29" spans="7:12" ht="15.75" customHeight="1" x14ac:dyDescent="0.3">
      <c r="G29" s="134" t="s">
        <v>278</v>
      </c>
      <c r="H29" s="134"/>
      <c r="I29" s="134"/>
      <c r="J29" s="134"/>
      <c r="K29" s="134"/>
      <c r="L29" s="134"/>
    </row>
    <row r="30" spans="7:12" ht="15.75" customHeight="1" x14ac:dyDescent="0.3">
      <c r="G30" s="133" t="s">
        <v>279</v>
      </c>
      <c r="H30" s="133"/>
      <c r="I30" s="133"/>
      <c r="J30" s="133"/>
      <c r="K30" s="133"/>
      <c r="L30" s="133"/>
    </row>
    <row r="31" spans="7:12" ht="15.75" customHeight="1" x14ac:dyDescent="0.3">
      <c r="G31" s="134" t="s">
        <v>280</v>
      </c>
      <c r="H31" s="134"/>
      <c r="I31" s="134"/>
      <c r="J31" s="134"/>
      <c r="K31" s="134"/>
      <c r="L31" s="134"/>
    </row>
    <row r="32" spans="7:12" ht="15.75" customHeight="1" x14ac:dyDescent="0.3">
      <c r="G32" s="133" t="s">
        <v>281</v>
      </c>
      <c r="H32" s="133"/>
      <c r="I32" s="133"/>
      <c r="J32" s="133"/>
      <c r="K32" s="133"/>
      <c r="L32" s="133"/>
    </row>
    <row r="33" spans="7:12" ht="15.75" customHeight="1" x14ac:dyDescent="0.3">
      <c r="G33" s="134" t="s">
        <v>282</v>
      </c>
      <c r="H33" s="134"/>
      <c r="I33" s="134"/>
      <c r="J33" s="134"/>
      <c r="K33" s="134"/>
      <c r="L33" s="134"/>
    </row>
    <row r="34" spans="7:12" ht="15.75" customHeight="1" x14ac:dyDescent="0.3">
      <c r="G34" s="133" t="s">
        <v>283</v>
      </c>
      <c r="H34" s="133"/>
      <c r="I34" s="133"/>
      <c r="J34" s="133"/>
      <c r="K34" s="133"/>
      <c r="L34" s="133"/>
    </row>
    <row r="35" spans="7:12" ht="15.75" customHeight="1" x14ac:dyDescent="0.3">
      <c r="G35" s="134" t="s">
        <v>284</v>
      </c>
      <c r="H35" s="134"/>
      <c r="I35" s="134"/>
      <c r="J35" s="134"/>
      <c r="K35" s="134"/>
      <c r="L35" s="134"/>
    </row>
    <row r="36" spans="7:12" ht="15.75" customHeight="1" x14ac:dyDescent="0.3">
      <c r="G36" s="133" t="s">
        <v>285</v>
      </c>
      <c r="H36" s="133"/>
      <c r="I36" s="133"/>
      <c r="J36" s="133"/>
      <c r="K36" s="133"/>
      <c r="L36" s="133"/>
    </row>
  </sheetData>
  <mergeCells count="34">
    <mergeCell ref="G34:L34"/>
    <mergeCell ref="G35:L35"/>
    <mergeCell ref="G36:L36"/>
    <mergeCell ref="G29:L29"/>
    <mergeCell ref="G30:L30"/>
    <mergeCell ref="G31:L31"/>
    <mergeCell ref="G32:L32"/>
    <mergeCell ref="G33:L33"/>
    <mergeCell ref="A9:C9"/>
    <mergeCell ref="D9:F9"/>
    <mergeCell ref="G9:I9"/>
    <mergeCell ref="J9:L9"/>
    <mergeCell ref="G28:L28"/>
    <mergeCell ref="A7:C7"/>
    <mergeCell ref="D7:F7"/>
    <mergeCell ref="G7:I7"/>
    <mergeCell ref="J7:L7"/>
    <mergeCell ref="A8:C8"/>
    <mergeCell ref="D8:F8"/>
    <mergeCell ref="G8:I8"/>
    <mergeCell ref="J8:L8"/>
    <mergeCell ref="A4:C4"/>
    <mergeCell ref="D4:F4"/>
    <mergeCell ref="G4:I4"/>
    <mergeCell ref="J4:L4"/>
    <mergeCell ref="A5:C5"/>
    <mergeCell ref="D5:F5"/>
    <mergeCell ref="G5:I5"/>
    <mergeCell ref="J5:L5"/>
    <mergeCell ref="A1:L2"/>
    <mergeCell ref="A3:C3"/>
    <mergeCell ref="D3:F3"/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Raw Data</vt:lpstr>
      <vt:lpstr>Top10_Customers</vt:lpstr>
      <vt:lpstr>WhatIf_Analysis</vt:lpstr>
      <vt:lpstr>Linear_Regression</vt:lpstr>
      <vt:lpstr>Descriptive_Stats</vt:lpstr>
      <vt:lpstr>Monthly_Arrows</vt:lpstr>
      <vt:lpstr>HighValue_Customers</vt:lpstr>
      <vt:lpstr>Pivot_Analysis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 Vekariya</cp:lastModifiedBy>
  <cp:revision>1</cp:revision>
  <dcterms:created xsi:type="dcterms:W3CDTF">2026-03-24T12:11:23Z</dcterms:created>
  <dcterms:modified xsi:type="dcterms:W3CDTF">2026-03-27T10:33:01Z</dcterms:modified>
  <dc:language>en-US</dc:language>
</cp:coreProperties>
</file>