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ll Answe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<sst xmlns="http://schemas.openxmlformats.org/spreadsheetml/2006/main" count="383" uniqueCount="213">
  <si>
    <t xml:space="preserve">Excel Skills Submission – All Answers</t>
  </si>
  <si>
    <t xml:space="preserve">Tasks: Relative/Absolute Refs · IF/Nested IF · IF(AND)/IF(OR) · COUNTIFS/SUMIFS/AVERAGEIFS · VLOOKUP · INDEX-MATCH · TEXT Functions · XLOOKUP · XMATCH · INDIRECT · OFFSET · Date &amp; Time · Math · FILTER</t>
  </si>
  <si>
    <t xml:space="preserve">A  ·  Source Data Tables</t>
  </si>
  <si>
    <t xml:space="preserve">Student ID</t>
  </si>
  <si>
    <t xml:space="preserve">Name</t>
  </si>
  <si>
    <t xml:space="preserve">Math</t>
  </si>
  <si>
    <t xml:space="preserve">Science</t>
  </si>
  <si>
    <t xml:space="preserve">English</t>
  </si>
  <si>
    <t xml:space="preserve">Enroll Date</t>
  </si>
  <si>
    <t xml:space="preserve">Total</t>
  </si>
  <si>
    <t xml:space="preserve">Percentage</t>
  </si>
  <si>
    <t xml:space="preserve">ProductID</t>
  </si>
  <si>
    <t xml:space="preserve">Code</t>
  </si>
  <si>
    <t xml:space="preserve">Product Name</t>
  </si>
  <si>
    <t xml:space="preserve">Price (₹)</t>
  </si>
  <si>
    <t xml:space="preserve">Emp ID</t>
  </si>
  <si>
    <t xml:space="preserve">Dept</t>
  </si>
  <si>
    <t xml:space="preserve">Salary (₹)</t>
  </si>
  <si>
    <t xml:space="preserve">Joining Date</t>
  </si>
  <si>
    <t xml:space="preserve">Student 1</t>
  </si>
  <si>
    <t xml:space="preserve">a1</t>
  </si>
  <si>
    <t xml:space="preserve">Wireless Mouse</t>
  </si>
  <si>
    <t xml:space="preserve">Employee 1</t>
  </si>
  <si>
    <t xml:space="preserve">Finance</t>
  </si>
  <si>
    <t xml:space="preserve">Student 2</t>
  </si>
  <si>
    <t xml:space="preserve">P002</t>
  </si>
  <si>
    <t xml:space="preserve">Mechanical Keyboard</t>
  </si>
  <si>
    <t xml:space="preserve">Employee 2</t>
  </si>
  <si>
    <t xml:space="preserve">Student 3</t>
  </si>
  <si>
    <t xml:space="preserve">P003</t>
  </si>
  <si>
    <t xml:space="preserve">USB-C Charger</t>
  </si>
  <si>
    <t xml:space="preserve">Employee 3</t>
  </si>
  <si>
    <t xml:space="preserve">HR</t>
  </si>
  <si>
    <t xml:space="preserve">Student 4</t>
  </si>
  <si>
    <t xml:space="preserve">P004</t>
  </si>
  <si>
    <t xml:space="preserve">Laptop Stand</t>
  </si>
  <si>
    <t xml:space="preserve">Employee 4</t>
  </si>
  <si>
    <t xml:space="preserve">Student 5</t>
  </si>
  <si>
    <t xml:space="preserve">P005</t>
  </si>
  <si>
    <t xml:space="preserve">Bluetooth Speaker</t>
  </si>
  <si>
    <t xml:space="preserve">Employee 5</t>
  </si>
  <si>
    <t xml:space="preserve">IT</t>
  </si>
  <si>
    <t xml:space="preserve">Student 6</t>
  </si>
  <si>
    <t xml:space="preserve">Employee 6</t>
  </si>
  <si>
    <t xml:space="preserve">Student 7</t>
  </si>
  <si>
    <t xml:space="preserve">Salesperson</t>
  </si>
  <si>
    <t xml:space="preserve">Month</t>
  </si>
  <si>
    <t xml:space="preserve">Sales (₹)</t>
  </si>
  <si>
    <t xml:space="preserve">Employee 7</t>
  </si>
  <si>
    <t xml:space="preserve">Marketing</t>
  </si>
  <si>
    <t xml:space="preserve">Student 8</t>
  </si>
  <si>
    <t xml:space="preserve">Rahul</t>
  </si>
  <si>
    <t xml:space="preserve">January</t>
  </si>
  <si>
    <t xml:space="preserve">Employee 8</t>
  </si>
  <si>
    <t xml:space="preserve">Student 9</t>
  </si>
  <si>
    <t xml:space="preserve">Priya</t>
  </si>
  <si>
    <t xml:space="preserve">Employee 9</t>
  </si>
  <si>
    <t xml:space="preserve">Student 10</t>
  </si>
  <si>
    <t xml:space="preserve">Amit</t>
  </si>
  <si>
    <t xml:space="preserve">Employee 10</t>
  </si>
  <si>
    <t xml:space="preserve">Student 11</t>
  </si>
  <si>
    <t xml:space="preserve">February</t>
  </si>
  <si>
    <t xml:space="preserve">Employee 11</t>
  </si>
  <si>
    <t xml:space="preserve">Student 12</t>
  </si>
  <si>
    <t xml:space="preserve">Employee 12</t>
  </si>
  <si>
    <t xml:space="preserve">Student 13</t>
  </si>
  <si>
    <t xml:space="preserve">Employee 13</t>
  </si>
  <si>
    <t xml:space="preserve">Student 14</t>
  </si>
  <si>
    <t xml:space="preserve">Employee 14</t>
  </si>
  <si>
    <t xml:space="preserve">Student 15</t>
  </si>
  <si>
    <t xml:space="preserve">Employee 15</t>
  </si>
  <si>
    <t xml:space="preserve">Student 16</t>
  </si>
  <si>
    <t xml:space="preserve">Employee 16</t>
  </si>
  <si>
    <t xml:space="preserve">Student 17</t>
  </si>
  <si>
    <t xml:space="preserve">Employee 17</t>
  </si>
  <si>
    <t xml:space="preserve">Student 18</t>
  </si>
  <si>
    <t xml:space="preserve">Employee 18</t>
  </si>
  <si>
    <t xml:space="preserve">Student 19</t>
  </si>
  <si>
    <t xml:space="preserve">Employee 19</t>
  </si>
  <si>
    <t xml:space="preserve">Student 20</t>
  </si>
  <si>
    <t xml:space="preserve">Employee 20</t>
  </si>
  <si>
    <t xml:space="preserve">B  ·  IF Formula – Classify Student Grades  (Grade: A≥90% | B≥70% | C≥50% | D≥35% | F&lt;35%)</t>
  </si>
  <si>
    <t xml:space="preserve">Grade (Nested IF)</t>
  </si>
  <si>
    <t xml:space="preserve">Discount? (≥30000)</t>
  </si>
  <si>
    <t xml:space="preserve">C  ·  IF(AND) – Above 80 in Both Math &amp; Science  |  IF(OR) – Eligible for Discount</t>
  </si>
  <si>
    <t xml:space="preserve">Above 80 in Both? IF(AND)</t>
  </si>
  <si>
    <t xml:space="preserve">Price</t>
  </si>
  <si>
    <t xml:space="preserve">Eligible? (Price&gt;1000 OR Code=a1)</t>
  </si>
  <si>
    <t xml:space="preserve">D  ·  COUNTIFS · SUMIFS · AVERAGEIFS</t>
  </si>
  <si>
    <t xml:space="preserve">Task</t>
  </si>
  <si>
    <t xml:space="preserve">Question</t>
  </si>
  <si>
    <t xml:space="preserve">Formula</t>
  </si>
  <si>
    <t xml:space="preserve">Answer</t>
  </si>
  <si>
    <t xml:space="preserve">D1</t>
  </si>
  <si>
    <t xml:space="preserve">Count students who scored &gt; 50 in Math</t>
  </si>
  <si>
    <t xml:space="preserve">D2</t>
  </si>
  <si>
    <t xml:space="preserve">Sum of sales for Priya in January</t>
  </si>
  <si>
    <t xml:space="preserve">D3</t>
  </si>
  <si>
    <t xml:space="preserve">Average Math score for students who scored &gt; 60 in Math</t>
  </si>
  <si>
    <t xml:space="preserve">E  ·  VLOOKUP Function</t>
  </si>
  <si>
    <t xml:space="preserve">Lookup Value</t>
  </si>
  <si>
    <t xml:space="preserve">VLOOKUP Formula</t>
  </si>
  <si>
    <t xml:space="preserve">Result</t>
  </si>
  <si>
    <t xml:space="preserve">E1</t>
  </si>
  <si>
    <t xml:space="preserve">1015 (Student ID)</t>
  </si>
  <si>
    <t xml:space="preserve">E2</t>
  </si>
  <si>
    <t xml:space="preserve">"a1" (Product Code)</t>
  </si>
  <si>
    <t xml:space="preserve">F  ·  INDEX &amp; MATCH Functions</t>
  </si>
  <si>
    <t xml:space="preserve">Description</t>
  </si>
  <si>
    <t xml:space="preserve">Lookup</t>
  </si>
  <si>
    <t xml:space="preserve">F1</t>
  </si>
  <si>
    <t xml:space="preserve">Sales for Priya in January</t>
  </si>
  <si>
    <t xml:space="preserve">Priya + January</t>
  </si>
  <si>
    <t xml:space="preserve">F2a</t>
  </si>
  <si>
    <t xml:space="preserve">Department of Employee 3002</t>
  </si>
  <si>
    <t xml:space="preserve">3002</t>
  </si>
  <si>
    <t xml:space="preserve">F2b</t>
  </si>
  <si>
    <t xml:space="preserve">Salary of Employee 3002</t>
  </si>
  <si>
    <t xml:space="preserve">G  ·  Excel TEXT Functions  (LEFT · FIND · UPPER · LOWER · LEN)</t>
  </si>
  <si>
    <t xml:space="preserve">#</t>
  </si>
  <si>
    <t xml:space="preserve">Full Name</t>
  </si>
  <si>
    <t xml:space="preserve">First Name  =LEFT()+FIND()</t>
  </si>
  <si>
    <t xml:space="preserve">UPPER()</t>
  </si>
  <si>
    <t xml:space="preserve">LOWER()</t>
  </si>
  <si>
    <t xml:space="preserve">LEN()</t>
  </si>
  <si>
    <t xml:space="preserve">PRIYANSH VEKARIYA</t>
  </si>
  <si>
    <t xml:space="preserve">ANSH PATOLIYA</t>
  </si>
  <si>
    <t xml:space="preserve">RAVI SHARMA</t>
  </si>
  <si>
    <t xml:space="preserve">POOJA MEHTA</t>
  </si>
  <si>
    <t xml:space="preserve">NITIN PATEL</t>
  </si>
  <si>
    <t xml:space="preserve">H  ·  XLOOKUP Function  (Excel 365 / 2021+)</t>
  </si>
  <si>
    <t xml:space="preserve">Formula (XLOOKUP)</t>
  </si>
  <si>
    <t xml:space="preserve">Expected Result</t>
  </si>
  <si>
    <t xml:space="preserve">H1</t>
  </si>
  <si>
    <t xml:space="preserve">Sales of Priya in January</t>
  </si>
  <si>
    <t xml:space="preserve">XLOOKUP("Priya", Salesperson_range, Sales_range)</t>
  </si>
  <si>
    <t xml:space="preserve">32000</t>
  </si>
  <si>
    <t xml:space="preserve">H2</t>
  </si>
  <si>
    <t xml:space="preserve">Salary of Employee 4</t>
  </si>
  <si>
    <t xml:space="preserve">XLOOKUP("Employee 4", Name_range, Salary_range)</t>
  </si>
  <si>
    <t xml:space="preserve">109972</t>
  </si>
  <si>
    <t xml:space="preserve">Note: XLOOKUP requires Excel 365 or Excel 2021+. Formula shown as syntax reference.</t>
  </si>
  <si>
    <t xml:space="preserve">I  ·  XMATCH Function  –  Find Position of a Product</t>
  </si>
  <si>
    <t xml:space="preserve">XMATCH Formula</t>
  </si>
  <si>
    <t xml:space="preserve">Position Found</t>
  </si>
  <si>
    <t xml:space="preserve">I1</t>
  </si>
  <si>
    <t xml:space="preserve">"Laptop Stand"</t>
  </si>
  <si>
    <t xml:space="preserve">XMATCH("Laptop Stand", Product_Name_range)</t>
  </si>
  <si>
    <t xml:space="preserve">4</t>
  </si>
  <si>
    <t xml:space="preserve">J  ·  INDIRECT Function  –  Dynamic Cell Reference</t>
  </si>
  <si>
    <t xml:space="preserve">Cell Ref (text)</t>
  </si>
  <si>
    <t xml:space="preserve">INDIRECT Formula</t>
  </si>
  <si>
    <t xml:space="preserve">J1</t>
  </si>
  <si>
    <t xml:space="preserve">C6</t>
  </si>
  <si>
    <t xml:space="preserve">J2</t>
  </si>
  <si>
    <t xml:space="preserve">C7</t>
  </si>
  <si>
    <t xml:space="preserve">J3</t>
  </si>
  <si>
    <t xml:space="preserve">C8</t>
  </si>
  <si>
    <t xml:space="preserve">Syntax: =INDIRECT(ref_text) — converts a text string like "C5" into a real cell reference dynamically.</t>
  </si>
  <si>
    <t xml:space="preserve">K  ·  OFFSET Function  –  Dynamic Sales Range</t>
  </si>
  <si>
    <t xml:space="preserve">OFFSET Formula</t>
  </si>
  <si>
    <t xml:space="preserve">Value at Offset</t>
  </si>
  <si>
    <t xml:space="preserve">K1</t>
  </si>
  <si>
    <t xml:space="preserve">Sales row 1 from base cell</t>
  </si>
  <si>
    <t xml:space="preserve">K2</t>
  </si>
  <si>
    <t xml:space="preserve">Sales row 2 from base cell</t>
  </si>
  <si>
    <t xml:space="preserve">K3</t>
  </si>
  <si>
    <t xml:space="preserve">Sales row 3 from base cell</t>
  </si>
  <si>
    <t xml:space="preserve">K4</t>
  </si>
  <si>
    <t xml:space="preserve">Sales row 4 from base cell</t>
  </si>
  <si>
    <t xml:space="preserve">K5</t>
  </si>
  <si>
    <t xml:space="preserve">Sales row 5 from base cell</t>
  </si>
  <si>
    <t xml:space="preserve">Syntax: =OFFSET(reference, rows, cols, [height], [width]) — returns a cell/range offset from a starting point.</t>
  </si>
  <si>
    <t xml:space="preserve">L  ·  Date &amp; Time Functions  –  Age · Day Difference · TODAY · NOW</t>
  </si>
  <si>
    <t xml:space="preserve">Date / Input</t>
  </si>
  <si>
    <t xml:space="preserve">L1a</t>
  </si>
  <si>
    <t xml:space="preserve">Date of Birth 1</t>
  </si>
  <si>
    <t xml:space="preserve">Entered in C column</t>
  </si>
  <si>
    <t xml:space="preserve">—</t>
  </si>
  <si>
    <t xml:space="preserve">L1b</t>
  </si>
  <si>
    <t xml:space="preserve">Age from DOB1  =DATEDIF(...,"Y")</t>
  </si>
  <si>
    <t xml:space="preserve">L2a</t>
  </si>
  <si>
    <t xml:space="preserve">Date of Birth 2</t>
  </si>
  <si>
    <t xml:space="preserve">L2b</t>
  </si>
  <si>
    <t xml:space="preserve">Day difference (DOB2 − DOB1)</t>
  </si>
  <si>
    <t xml:space="preserve">L3</t>
  </si>
  <si>
    <t xml:space="preserve">Today's Date  =TODAY()</t>
  </si>
  <si>
    <t xml:space="preserve">L4</t>
  </si>
  <si>
    <t xml:space="preserve">Current DateTime  =NOW()</t>
  </si>
  <si>
    <t xml:space="preserve">M  ·  Math Functions  –  ROUND · CEILING · FLOOR · ABS · MOD · POWER</t>
  </si>
  <si>
    <t xml:space="preserve">Function</t>
  </si>
  <si>
    <t xml:space="preserve">Input</t>
  </si>
  <si>
    <t xml:space="preserve">M1</t>
  </si>
  <si>
    <t xml:space="preserve">ROUND</t>
  </si>
  <si>
    <t xml:space="preserve">12.5789</t>
  </si>
  <si>
    <t xml:space="preserve">M2</t>
  </si>
  <si>
    <t xml:space="preserve">CEILING</t>
  </si>
  <si>
    <t xml:space="preserve">12.1</t>
  </si>
  <si>
    <t xml:space="preserve">M3</t>
  </si>
  <si>
    <t xml:space="preserve">FLOOR</t>
  </si>
  <si>
    <t xml:space="preserve">14.9</t>
  </si>
  <si>
    <t xml:space="preserve">M4</t>
  </si>
  <si>
    <t xml:space="preserve">ABS</t>
  </si>
  <si>
    <t xml:space="preserve">-50</t>
  </si>
  <si>
    <t xml:space="preserve">M5</t>
  </si>
  <si>
    <t xml:space="preserve">MOD</t>
  </si>
  <si>
    <t xml:space="preserve">17 ÷ 5</t>
  </si>
  <si>
    <t xml:space="preserve">M6</t>
  </si>
  <si>
    <t xml:space="preserve">POWER</t>
  </si>
  <si>
    <t xml:space="preserve">2 ^ 10</t>
  </si>
  <si>
    <t xml:space="preserve">N  ·  FILTER Function  –  Top-Performing Students  (Total ≥ 230)</t>
  </si>
  <si>
    <t xml:space="preserve">Qualifies (≥230)?</t>
  </si>
  <si>
    <t xml:space="preserve">FILTER Formula (Excel 365): =FILTER(A148:G167,F148:F167&gt;=230,"No results")  →  Returns only rows where Total ≥ 230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</si>
</sst>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yyyy\-mm\-dd"/>
    <numFmt numFmtId="166" formatCode="General"/>
    <numFmt numFmtId="167" formatCode="0.00"/>
    <numFmt numFmtId="168" formatCode="#,##0"/>
    <numFmt numFmtId="169" formatCode="dd\-mmm\-yyyy"/>
    <numFmt numFmtId="170" formatCode="0"/>
    <numFmt numFmtId="171" formatCode="mm/dd/yy"/>
    <numFmt numFmtId="172" formatCode="mm/dd/yy\ hh:mm\ AM/PM"/>
    <numFmt numFmtId="173" formatCode="dd\-mmm\-yyyy\ hh:mm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"/>
      <color rgb="FF1F3864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i val="true"/>
      <sz val="10"/>
      <color rgb="FF2E75B6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2E75B6"/>
      <name val="Arial"/>
      <family val="0"/>
      <charset val="1"/>
    </font>
    <font>
      <sz val="10"/>
      <color rgb="FF888888"/>
      <name val="Arial"/>
      <family val="0"/>
      <charset val="1"/>
    </font>
    <font>
      <sz val="10"/>
      <color rgb="FF375623"/>
      <name val="Arial"/>
      <family val="0"/>
      <charset val="1"/>
    </font>
    <font>
      <i val="true"/>
      <sz val="9"/>
      <color rgb="FF2E75B6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0"/>
        <bgColor rgb="FFE2EFDA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8FD"/>
      </patternFill>
    </fill>
    <fill>
      <patternFill patternType="solid">
        <fgColor rgb="FFF2F8FD"/>
        <bgColor rgb="FFEBF5FB"/>
      </patternFill>
    </fill>
    <fill>
      <patternFill patternType="solid">
        <fgColor rgb="FFE2EFDA"/>
        <bgColor rgb="FFEBF5FB"/>
      </patternFill>
    </fill>
    <fill>
      <patternFill patternType="solid">
        <fgColor rgb="FFEBF5FB"/>
        <bgColor rgb="FFF2F8FD"/>
      </patternFill>
    </fill>
    <fill>
      <patternFill patternType="solid">
        <fgColor rgb="FFFFF2CC"/>
        <bgColor rgb="FFE2EFDA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DD7EE"/>
      </left>
      <right style="thin">
        <color rgb="FFBDD7EE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5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2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2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8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2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11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12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1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3" fontId="12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E4F0"/>
      <rgbColor rgb="FF888888"/>
      <rgbColor rgb="FF9999FF"/>
      <rgbColor rgb="FF993366"/>
      <rgbColor rgb="FFFFF2CC"/>
      <rgbColor rgb="FFEBF5FB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8FD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7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8"/>
    <col collapsed="false" customWidth="true" hidden="false" outlineLevel="0" max="5" min="4" style="1" width="10"/>
    <col collapsed="false" customWidth="true" hidden="false" outlineLevel="0" max="6" min="6" style="1" width="14"/>
    <col collapsed="false" customWidth="true" hidden="false" outlineLevel="0" max="8" min="7" style="1" width="22"/>
    <col collapsed="false" customWidth="true" hidden="false" outlineLevel="0" max="9" min="9" style="1" width="2"/>
    <col collapsed="false" customWidth="true" hidden="false" outlineLevel="0" max="10" min="10" style="1" width="12"/>
    <col collapsed="false" customWidth="true" hidden="false" outlineLevel="0" max="13" min="11" style="1" width="14"/>
    <col collapsed="false" customWidth="true" hidden="false" outlineLevel="0" max="14" min="14" style="1" width="12"/>
    <col collapsed="false" customWidth="true" hidden="false" outlineLevel="0" max="15" min="15" style="1" width="14"/>
    <col collapsed="false" customWidth="true" hidden="false" outlineLevel="0" max="17" min="16" style="1" width="12"/>
    <col collapsed="false" customWidth="true" hidden="false" outlineLevel="0" max="18" min="18" style="1" width="14"/>
  </cols>
  <sheetData>
    <row r="1" customFormat="false" ht="37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24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21.75" hidden="false" customHeight="true" outlineLevel="0" collapsed="false">
      <c r="A4" s="4" t="s">
        <v>2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customFormat="false" ht="18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4</v>
      </c>
      <c r="P5" s="5" t="s">
        <v>16</v>
      </c>
      <c r="Q5" s="5" t="s">
        <v>17</v>
      </c>
      <c r="R5" s="5" t="s">
        <v>18</v>
      </c>
    </row>
    <row r="6" customFormat="false" ht="15" hidden="false" customHeight="true" outlineLevel="0" collapsed="false">
      <c r="A6" s="6" t="n">
        <v>1001</v>
      </c>
      <c r="B6" s="7" t="s">
        <v>19</v>
      </c>
      <c r="C6" s="6" t="n">
        <v>61</v>
      </c>
      <c r="D6" s="6" t="n">
        <v>48</v>
      </c>
      <c r="E6" s="6" t="n">
        <v>76</v>
      </c>
      <c r="F6" s="8" t="n">
        <v>43101</v>
      </c>
      <c r="G6" s="9" t="n">
        <f aca="false">C6+D6+E6</f>
        <v>185</v>
      </c>
      <c r="H6" s="10" t="n">
        <f aca="false">AVERAGE(C6,D6,E6)</f>
        <v>61.6666666666667</v>
      </c>
      <c r="J6" s="6" t="n">
        <v>1</v>
      </c>
      <c r="K6" s="6" t="s">
        <v>20</v>
      </c>
      <c r="L6" s="7" t="s">
        <v>21</v>
      </c>
      <c r="M6" s="11" t="n">
        <v>1500</v>
      </c>
      <c r="N6" s="6" t="n">
        <v>3001</v>
      </c>
      <c r="O6" s="7" t="s">
        <v>22</v>
      </c>
      <c r="P6" s="7" t="s">
        <v>23</v>
      </c>
      <c r="Q6" s="11" t="n">
        <v>86766</v>
      </c>
      <c r="R6" s="8" t="n">
        <v>42005</v>
      </c>
    </row>
    <row r="7" customFormat="false" ht="15" hidden="false" customHeight="true" outlineLevel="0" collapsed="false">
      <c r="A7" s="12" t="n">
        <v>1002</v>
      </c>
      <c r="B7" s="13" t="s">
        <v>24</v>
      </c>
      <c r="C7" s="12" t="n">
        <v>78</v>
      </c>
      <c r="D7" s="12" t="n">
        <v>76</v>
      </c>
      <c r="E7" s="12" t="n">
        <v>70</v>
      </c>
      <c r="F7" s="14" t="n">
        <v>43281</v>
      </c>
      <c r="G7" s="15" t="n">
        <f aca="false">C7+D7+E7</f>
        <v>224</v>
      </c>
      <c r="H7" s="16" t="n">
        <f aca="false">AVERAGE(C7,D7,E7)</f>
        <v>74.6666666666667</v>
      </c>
      <c r="J7" s="12" t="n">
        <v>2</v>
      </c>
      <c r="K7" s="12" t="s">
        <v>25</v>
      </c>
      <c r="L7" s="13" t="s">
        <v>26</v>
      </c>
      <c r="M7" s="17" t="n">
        <v>4500</v>
      </c>
      <c r="N7" s="12" t="n">
        <v>3002</v>
      </c>
      <c r="O7" s="13" t="s">
        <v>27</v>
      </c>
      <c r="P7" s="13" t="s">
        <v>23</v>
      </c>
      <c r="Q7" s="17" t="n">
        <v>31943</v>
      </c>
      <c r="R7" s="14" t="n">
        <v>42255</v>
      </c>
    </row>
    <row r="8" customFormat="false" ht="15" hidden="false" customHeight="true" outlineLevel="0" collapsed="false">
      <c r="A8" s="6" t="n">
        <v>1003</v>
      </c>
      <c r="B8" s="7" t="s">
        <v>28</v>
      </c>
      <c r="C8" s="6" t="n">
        <v>97</v>
      </c>
      <c r="D8" s="6" t="n">
        <v>60</v>
      </c>
      <c r="E8" s="6" t="n">
        <v>51</v>
      </c>
      <c r="F8" s="8" t="n">
        <v>43461</v>
      </c>
      <c r="G8" s="9" t="n">
        <f aca="false">C8+D8+E8</f>
        <v>208</v>
      </c>
      <c r="H8" s="10" t="n">
        <f aca="false">AVERAGE(C8,D8,E8)</f>
        <v>69.3333333333333</v>
      </c>
      <c r="J8" s="6" t="n">
        <v>3</v>
      </c>
      <c r="K8" s="6" t="s">
        <v>29</v>
      </c>
      <c r="L8" s="7" t="s">
        <v>30</v>
      </c>
      <c r="M8" s="11" t="n">
        <v>900</v>
      </c>
      <c r="N8" s="6" t="n">
        <v>3003</v>
      </c>
      <c r="O8" s="7" t="s">
        <v>31</v>
      </c>
      <c r="P8" s="7" t="s">
        <v>32</v>
      </c>
      <c r="Q8" s="11" t="n">
        <v>63374</v>
      </c>
      <c r="R8" s="8" t="n">
        <v>42505</v>
      </c>
    </row>
    <row r="9" customFormat="false" ht="15" hidden="false" customHeight="true" outlineLevel="0" collapsed="false">
      <c r="A9" s="12" t="n">
        <v>1004</v>
      </c>
      <c r="B9" s="13" t="s">
        <v>33</v>
      </c>
      <c r="C9" s="12" t="n">
        <v>74</v>
      </c>
      <c r="D9" s="12" t="n">
        <v>55</v>
      </c>
      <c r="E9" s="12" t="n">
        <v>46</v>
      </c>
      <c r="F9" s="14" t="n">
        <v>43641</v>
      </c>
      <c r="G9" s="15" t="n">
        <f aca="false">C9+D9+E9</f>
        <v>175</v>
      </c>
      <c r="H9" s="16" t="n">
        <f aca="false">AVERAGE(C9,D9,E9)</f>
        <v>58.3333333333333</v>
      </c>
      <c r="J9" s="12" t="n">
        <v>4</v>
      </c>
      <c r="K9" s="12" t="s">
        <v>34</v>
      </c>
      <c r="L9" s="13" t="s">
        <v>35</v>
      </c>
      <c r="M9" s="17" t="n">
        <v>2200</v>
      </c>
      <c r="N9" s="12" t="n">
        <v>3004</v>
      </c>
      <c r="O9" s="13" t="s">
        <v>36</v>
      </c>
      <c r="P9" s="13" t="s">
        <v>23</v>
      </c>
      <c r="Q9" s="17" t="n">
        <v>109972</v>
      </c>
      <c r="R9" s="14" t="n">
        <v>42755</v>
      </c>
    </row>
    <row r="10" customFormat="false" ht="15" hidden="false" customHeight="true" outlineLevel="0" collapsed="false">
      <c r="A10" s="6" t="n">
        <v>1005</v>
      </c>
      <c r="B10" s="7" t="s">
        <v>37</v>
      </c>
      <c r="C10" s="6" t="n">
        <v>68</v>
      </c>
      <c r="D10" s="6" t="n">
        <v>74</v>
      </c>
      <c r="E10" s="6" t="n">
        <v>84</v>
      </c>
      <c r="F10" s="8" t="n">
        <v>43821</v>
      </c>
      <c r="G10" s="9" t="n">
        <f aca="false">C10+D10+E10</f>
        <v>226</v>
      </c>
      <c r="H10" s="10" t="n">
        <f aca="false">AVERAGE(C10,D10,E10)</f>
        <v>75.3333333333333</v>
      </c>
      <c r="J10" s="6" t="n">
        <v>5</v>
      </c>
      <c r="K10" s="6" t="s">
        <v>38</v>
      </c>
      <c r="L10" s="7" t="s">
        <v>39</v>
      </c>
      <c r="M10" s="11" t="n">
        <v>3200</v>
      </c>
      <c r="N10" s="6" t="n">
        <v>3005</v>
      </c>
      <c r="O10" s="7" t="s">
        <v>40</v>
      </c>
      <c r="P10" s="7" t="s">
        <v>41</v>
      </c>
      <c r="Q10" s="11" t="n">
        <v>54149</v>
      </c>
      <c r="R10" s="8" t="n">
        <v>43005</v>
      </c>
    </row>
    <row r="11" customFormat="false" ht="15" hidden="false" customHeight="true" outlineLevel="0" collapsed="false">
      <c r="A11" s="12" t="n">
        <v>1006</v>
      </c>
      <c r="B11" s="13" t="s">
        <v>42</v>
      </c>
      <c r="C11" s="12" t="n">
        <v>80</v>
      </c>
      <c r="D11" s="12" t="n">
        <v>70</v>
      </c>
      <c r="E11" s="12" t="n">
        <v>65</v>
      </c>
      <c r="F11" s="14" t="n">
        <v>44001</v>
      </c>
      <c r="G11" s="15" t="n">
        <f aca="false">C11+D11+E11</f>
        <v>215</v>
      </c>
      <c r="H11" s="16" t="n">
        <f aca="false">AVERAGE(C11,D11,E11)</f>
        <v>71.6666666666667</v>
      </c>
      <c r="N11" s="12" t="n">
        <v>3006</v>
      </c>
      <c r="O11" s="13" t="s">
        <v>43</v>
      </c>
      <c r="P11" s="13" t="s">
        <v>41</v>
      </c>
      <c r="Q11" s="17" t="n">
        <v>78689</v>
      </c>
      <c r="R11" s="14" t="n">
        <v>43255</v>
      </c>
    </row>
    <row r="12" customFormat="false" ht="18" hidden="false" customHeight="true" outlineLevel="0" collapsed="false">
      <c r="A12" s="6" t="n">
        <v>1007</v>
      </c>
      <c r="B12" s="7" t="s">
        <v>44</v>
      </c>
      <c r="C12" s="6" t="n">
        <v>75</v>
      </c>
      <c r="D12" s="6" t="n">
        <v>47</v>
      </c>
      <c r="E12" s="6" t="n">
        <v>78</v>
      </c>
      <c r="F12" s="8" t="n">
        <v>44181</v>
      </c>
      <c r="G12" s="9" t="n">
        <f aca="false">C12+D12+E12</f>
        <v>200</v>
      </c>
      <c r="H12" s="10" t="n">
        <f aca="false">AVERAGE(C12,D12,E12)</f>
        <v>66.6666666666667</v>
      </c>
      <c r="J12" s="5" t="s">
        <v>45</v>
      </c>
      <c r="K12" s="5" t="s">
        <v>46</v>
      </c>
      <c r="L12" s="5" t="s">
        <v>47</v>
      </c>
      <c r="N12" s="6" t="n">
        <v>3007</v>
      </c>
      <c r="O12" s="7" t="s">
        <v>48</v>
      </c>
      <c r="P12" s="7" t="s">
        <v>49</v>
      </c>
      <c r="Q12" s="11" t="n">
        <v>35960</v>
      </c>
      <c r="R12" s="8" t="n">
        <v>43505</v>
      </c>
    </row>
    <row r="13" customFormat="false" ht="15" hidden="false" customHeight="true" outlineLevel="0" collapsed="false">
      <c r="A13" s="12" t="n">
        <v>1008</v>
      </c>
      <c r="B13" s="13" t="s">
        <v>50</v>
      </c>
      <c r="C13" s="12" t="n">
        <v>94</v>
      </c>
      <c r="D13" s="12" t="n">
        <v>67</v>
      </c>
      <c r="E13" s="12" t="n">
        <v>64</v>
      </c>
      <c r="F13" s="14" t="n">
        <v>44361</v>
      </c>
      <c r="G13" s="15" t="n">
        <f aca="false">C13+D13+E13</f>
        <v>225</v>
      </c>
      <c r="H13" s="16" t="n">
        <f aca="false">AVERAGE(C13,D13,E13)</f>
        <v>75</v>
      </c>
      <c r="J13" s="7" t="s">
        <v>51</v>
      </c>
      <c r="K13" s="7" t="s">
        <v>52</v>
      </c>
      <c r="L13" s="11" t="n">
        <v>25000</v>
      </c>
      <c r="N13" s="12" t="n">
        <v>3008</v>
      </c>
      <c r="O13" s="13" t="s">
        <v>53</v>
      </c>
      <c r="P13" s="13" t="s">
        <v>41</v>
      </c>
      <c r="Q13" s="17" t="n">
        <v>91659</v>
      </c>
      <c r="R13" s="14" t="n">
        <v>43755</v>
      </c>
    </row>
    <row r="14" customFormat="false" ht="15" hidden="false" customHeight="true" outlineLevel="0" collapsed="false">
      <c r="A14" s="6" t="n">
        <v>1009</v>
      </c>
      <c r="B14" s="7" t="s">
        <v>54</v>
      </c>
      <c r="C14" s="6" t="n">
        <v>41</v>
      </c>
      <c r="D14" s="6" t="n">
        <v>75</v>
      </c>
      <c r="E14" s="6" t="n">
        <v>56</v>
      </c>
      <c r="F14" s="8" t="n">
        <v>44541</v>
      </c>
      <c r="G14" s="9" t="n">
        <f aca="false">C14+D14+E14</f>
        <v>172</v>
      </c>
      <c r="H14" s="10" t="n">
        <f aca="false">AVERAGE(C14,D14,E14)</f>
        <v>57.3333333333333</v>
      </c>
      <c r="J14" s="13" t="s">
        <v>55</v>
      </c>
      <c r="K14" s="13" t="s">
        <v>52</v>
      </c>
      <c r="L14" s="17" t="n">
        <v>32000</v>
      </c>
      <c r="N14" s="6" t="n">
        <v>3009</v>
      </c>
      <c r="O14" s="7" t="s">
        <v>56</v>
      </c>
      <c r="P14" s="7" t="s">
        <v>41</v>
      </c>
      <c r="Q14" s="11" t="n">
        <v>90423</v>
      </c>
      <c r="R14" s="8" t="n">
        <v>44005</v>
      </c>
    </row>
    <row r="15" customFormat="false" ht="15" hidden="false" customHeight="true" outlineLevel="0" collapsed="false">
      <c r="A15" s="12" t="n">
        <v>1010</v>
      </c>
      <c r="B15" s="13" t="s">
        <v>57</v>
      </c>
      <c r="C15" s="12" t="n">
        <v>98</v>
      </c>
      <c r="D15" s="12" t="n">
        <v>54</v>
      </c>
      <c r="E15" s="12" t="n">
        <v>58</v>
      </c>
      <c r="F15" s="14" t="n">
        <v>44721</v>
      </c>
      <c r="G15" s="15" t="n">
        <f aca="false">C15+D15+E15</f>
        <v>210</v>
      </c>
      <c r="H15" s="16" t="n">
        <f aca="false">AVERAGE(C15,D15,E15)</f>
        <v>70</v>
      </c>
      <c r="J15" s="7" t="s">
        <v>58</v>
      </c>
      <c r="K15" s="7" t="s">
        <v>52</v>
      </c>
      <c r="L15" s="11" t="n">
        <v>28000</v>
      </c>
      <c r="N15" s="12" t="n">
        <v>3010</v>
      </c>
      <c r="O15" s="13" t="s">
        <v>59</v>
      </c>
      <c r="P15" s="13" t="s">
        <v>32</v>
      </c>
      <c r="Q15" s="17" t="n">
        <v>107877</v>
      </c>
      <c r="R15" s="14" t="n">
        <v>44255</v>
      </c>
    </row>
    <row r="16" customFormat="false" ht="15" hidden="false" customHeight="true" outlineLevel="0" collapsed="false">
      <c r="A16" s="6" t="n">
        <v>1011</v>
      </c>
      <c r="B16" s="7" t="s">
        <v>60</v>
      </c>
      <c r="C16" s="6" t="n">
        <v>73</v>
      </c>
      <c r="D16" s="6" t="n">
        <v>79</v>
      </c>
      <c r="E16" s="6" t="n">
        <v>53</v>
      </c>
      <c r="F16" s="8" t="n">
        <v>44901</v>
      </c>
      <c r="G16" s="9" t="n">
        <f aca="false">C16+D16+E16</f>
        <v>205</v>
      </c>
      <c r="H16" s="10" t="n">
        <f aca="false">AVERAGE(C16,D16,E16)</f>
        <v>68.3333333333333</v>
      </c>
      <c r="J16" s="13" t="s">
        <v>51</v>
      </c>
      <c r="K16" s="13" t="s">
        <v>61</v>
      </c>
      <c r="L16" s="17" t="n">
        <v>30000</v>
      </c>
      <c r="N16" s="6" t="n">
        <v>3011</v>
      </c>
      <c r="O16" s="7" t="s">
        <v>62</v>
      </c>
      <c r="P16" s="7" t="s">
        <v>23</v>
      </c>
      <c r="Q16" s="11" t="n">
        <v>107634</v>
      </c>
      <c r="R16" s="8" t="n">
        <v>44505</v>
      </c>
    </row>
    <row r="17" customFormat="false" ht="15" hidden="false" customHeight="true" outlineLevel="0" collapsed="false">
      <c r="A17" s="12" t="n">
        <v>1012</v>
      </c>
      <c r="B17" s="13" t="s">
        <v>63</v>
      </c>
      <c r="C17" s="12" t="n">
        <v>85</v>
      </c>
      <c r="D17" s="12" t="n">
        <v>89</v>
      </c>
      <c r="E17" s="12" t="n">
        <v>79</v>
      </c>
      <c r="F17" s="14" t="n">
        <v>45081</v>
      </c>
      <c r="G17" s="15" t="n">
        <f aca="false">C17+D17+E17</f>
        <v>253</v>
      </c>
      <c r="H17" s="16" t="n">
        <f aca="false">AVERAGE(C17,D17,E17)</f>
        <v>84.3333333333333</v>
      </c>
      <c r="J17" s="7" t="s">
        <v>55</v>
      </c>
      <c r="K17" s="7" t="s">
        <v>61</v>
      </c>
      <c r="L17" s="11" t="n">
        <v>35000</v>
      </c>
      <c r="N17" s="12" t="n">
        <v>3012</v>
      </c>
      <c r="O17" s="13" t="s">
        <v>64</v>
      </c>
      <c r="P17" s="13" t="s">
        <v>23</v>
      </c>
      <c r="Q17" s="17" t="n">
        <v>35226</v>
      </c>
      <c r="R17" s="14" t="n">
        <v>44755</v>
      </c>
    </row>
    <row r="18" customFormat="false" ht="15" hidden="false" customHeight="true" outlineLevel="0" collapsed="false">
      <c r="A18" s="6" t="n">
        <v>1013</v>
      </c>
      <c r="B18" s="7" t="s">
        <v>65</v>
      </c>
      <c r="C18" s="6" t="n">
        <v>98</v>
      </c>
      <c r="D18" s="6" t="n">
        <v>90</v>
      </c>
      <c r="E18" s="6" t="n">
        <v>97</v>
      </c>
      <c r="F18" s="8" t="n">
        <v>45261</v>
      </c>
      <c r="G18" s="9" t="n">
        <f aca="false">C18+D18+E18</f>
        <v>285</v>
      </c>
      <c r="H18" s="10" t="n">
        <f aca="false">AVERAGE(C18,D18,E18)</f>
        <v>95</v>
      </c>
      <c r="N18" s="6" t="n">
        <v>3013</v>
      </c>
      <c r="O18" s="7" t="s">
        <v>66</v>
      </c>
      <c r="P18" s="7" t="s">
        <v>32</v>
      </c>
      <c r="Q18" s="11" t="n">
        <v>40872</v>
      </c>
      <c r="R18" s="8" t="n">
        <v>45005</v>
      </c>
    </row>
    <row r="19" customFormat="false" ht="15" hidden="false" customHeight="true" outlineLevel="0" collapsed="false">
      <c r="A19" s="12" t="n">
        <v>1014</v>
      </c>
      <c r="B19" s="13" t="s">
        <v>67</v>
      </c>
      <c r="C19" s="12" t="n">
        <v>93</v>
      </c>
      <c r="D19" s="12" t="n">
        <v>40</v>
      </c>
      <c r="E19" s="12" t="n">
        <v>44</v>
      </c>
      <c r="F19" s="14" t="n">
        <v>45441</v>
      </c>
      <c r="G19" s="15" t="n">
        <f aca="false">C19+D19+E19</f>
        <v>177</v>
      </c>
      <c r="H19" s="16" t="n">
        <f aca="false">AVERAGE(C19,D19,E19)</f>
        <v>59</v>
      </c>
      <c r="N19" s="12" t="n">
        <v>3014</v>
      </c>
      <c r="O19" s="13" t="s">
        <v>68</v>
      </c>
      <c r="P19" s="13" t="s">
        <v>32</v>
      </c>
      <c r="Q19" s="17" t="n">
        <v>55378</v>
      </c>
      <c r="R19" s="14" t="n">
        <v>45255</v>
      </c>
    </row>
    <row r="20" customFormat="false" ht="15" hidden="false" customHeight="true" outlineLevel="0" collapsed="false">
      <c r="A20" s="6" t="n">
        <v>1015</v>
      </c>
      <c r="B20" s="7" t="s">
        <v>69</v>
      </c>
      <c r="C20" s="6" t="n">
        <v>70</v>
      </c>
      <c r="D20" s="6" t="n">
        <v>51</v>
      </c>
      <c r="E20" s="6" t="n">
        <v>75</v>
      </c>
      <c r="F20" s="8" t="n">
        <v>45621</v>
      </c>
      <c r="G20" s="9" t="n">
        <f aca="false">C20+D20+E20</f>
        <v>196</v>
      </c>
      <c r="H20" s="10" t="n">
        <f aca="false">AVERAGE(C20,D20,E20)</f>
        <v>65.3333333333333</v>
      </c>
      <c r="N20" s="6" t="n">
        <v>3015</v>
      </c>
      <c r="O20" s="7" t="s">
        <v>70</v>
      </c>
      <c r="P20" s="7" t="s">
        <v>32</v>
      </c>
      <c r="Q20" s="11" t="n">
        <v>63297</v>
      </c>
      <c r="R20" s="8" t="n">
        <v>45505</v>
      </c>
    </row>
    <row r="21" customFormat="false" ht="15" hidden="false" customHeight="true" outlineLevel="0" collapsed="false">
      <c r="A21" s="12" t="n">
        <v>1016</v>
      </c>
      <c r="B21" s="13" t="s">
        <v>71</v>
      </c>
      <c r="C21" s="12" t="n">
        <v>98</v>
      </c>
      <c r="D21" s="12" t="n">
        <v>77</v>
      </c>
      <c r="E21" s="12" t="n">
        <v>60</v>
      </c>
      <c r="F21" s="14" t="n">
        <v>45801</v>
      </c>
      <c r="G21" s="15" t="n">
        <f aca="false">C21+D21+E21</f>
        <v>235</v>
      </c>
      <c r="H21" s="16" t="n">
        <f aca="false">AVERAGE(C21,D21,E21)</f>
        <v>78.3333333333333</v>
      </c>
      <c r="N21" s="12" t="n">
        <v>3016</v>
      </c>
      <c r="O21" s="13" t="s">
        <v>72</v>
      </c>
      <c r="P21" s="13" t="s">
        <v>23</v>
      </c>
      <c r="Q21" s="17" t="n">
        <v>114173</v>
      </c>
      <c r="R21" s="14" t="n">
        <v>45755</v>
      </c>
    </row>
    <row r="22" customFormat="false" ht="15" hidden="false" customHeight="true" outlineLevel="0" collapsed="false">
      <c r="A22" s="6" t="n">
        <v>1017</v>
      </c>
      <c r="B22" s="7" t="s">
        <v>73</v>
      </c>
      <c r="C22" s="6" t="n">
        <v>66</v>
      </c>
      <c r="D22" s="6" t="n">
        <v>59</v>
      </c>
      <c r="E22" s="6" t="n">
        <v>40</v>
      </c>
      <c r="F22" s="8" t="n">
        <v>45981</v>
      </c>
      <c r="G22" s="9" t="n">
        <f aca="false">C22+D22+E22</f>
        <v>165</v>
      </c>
      <c r="H22" s="10" t="n">
        <f aca="false">AVERAGE(C22,D22,E22)</f>
        <v>55</v>
      </c>
      <c r="N22" s="6" t="n">
        <v>3017</v>
      </c>
      <c r="O22" s="7" t="s">
        <v>74</v>
      </c>
      <c r="P22" s="7" t="s">
        <v>32</v>
      </c>
      <c r="Q22" s="11" t="n">
        <v>86915</v>
      </c>
      <c r="R22" s="8" t="n">
        <v>46005</v>
      </c>
    </row>
    <row r="23" customFormat="false" ht="15" hidden="false" customHeight="true" outlineLevel="0" collapsed="false">
      <c r="A23" s="12" t="n">
        <v>1018</v>
      </c>
      <c r="B23" s="13" t="s">
        <v>75</v>
      </c>
      <c r="C23" s="12" t="n">
        <v>82</v>
      </c>
      <c r="D23" s="12" t="n">
        <v>48</v>
      </c>
      <c r="E23" s="12" t="n">
        <v>79</v>
      </c>
      <c r="F23" s="14" t="n">
        <v>46161</v>
      </c>
      <c r="G23" s="15" t="n">
        <f aca="false">C23+D23+E23</f>
        <v>209</v>
      </c>
      <c r="H23" s="16" t="n">
        <f aca="false">AVERAGE(C23,D23,E23)</f>
        <v>69.6666666666667</v>
      </c>
      <c r="N23" s="12" t="n">
        <v>3018</v>
      </c>
      <c r="O23" s="13" t="s">
        <v>76</v>
      </c>
      <c r="P23" s="13" t="s">
        <v>41</v>
      </c>
      <c r="Q23" s="17" t="n">
        <v>116284</v>
      </c>
      <c r="R23" s="14" t="n">
        <v>46255</v>
      </c>
    </row>
    <row r="24" customFormat="false" ht="15" hidden="false" customHeight="true" outlineLevel="0" collapsed="false">
      <c r="A24" s="6" t="n">
        <v>1019</v>
      </c>
      <c r="B24" s="7" t="s">
        <v>77</v>
      </c>
      <c r="C24" s="6" t="n">
        <v>90</v>
      </c>
      <c r="D24" s="6" t="n">
        <v>78</v>
      </c>
      <c r="E24" s="6" t="n">
        <v>60</v>
      </c>
      <c r="F24" s="8" t="n">
        <v>46341</v>
      </c>
      <c r="G24" s="9" t="n">
        <f aca="false">C24+D24+E24</f>
        <v>228</v>
      </c>
      <c r="H24" s="10" t="n">
        <f aca="false">AVERAGE(C24,D24,E24)</f>
        <v>76</v>
      </c>
      <c r="N24" s="6" t="n">
        <v>3019</v>
      </c>
      <c r="O24" s="7" t="s">
        <v>78</v>
      </c>
      <c r="P24" s="7" t="s">
        <v>49</v>
      </c>
      <c r="Q24" s="11" t="n">
        <v>116283</v>
      </c>
      <c r="R24" s="8" t="n">
        <v>46505</v>
      </c>
    </row>
    <row r="25" customFormat="false" ht="15" hidden="false" customHeight="true" outlineLevel="0" collapsed="false">
      <c r="A25" s="12" t="n">
        <v>1020</v>
      </c>
      <c r="B25" s="13" t="s">
        <v>79</v>
      </c>
      <c r="C25" s="12" t="n">
        <v>83</v>
      </c>
      <c r="D25" s="12" t="n">
        <v>92</v>
      </c>
      <c r="E25" s="12" t="n">
        <v>55</v>
      </c>
      <c r="F25" s="14" t="n">
        <v>46521</v>
      </c>
      <c r="G25" s="15" t="n">
        <f aca="false">C25+D25+E25</f>
        <v>230</v>
      </c>
      <c r="H25" s="16" t="n">
        <f aca="false">AVERAGE(C25,D25,E25)</f>
        <v>76.6666666666667</v>
      </c>
      <c r="N25" s="12" t="n">
        <v>3020</v>
      </c>
      <c r="O25" s="13" t="s">
        <v>80</v>
      </c>
      <c r="P25" s="13" t="s">
        <v>49</v>
      </c>
      <c r="Q25" s="17" t="n">
        <v>99924</v>
      </c>
      <c r="R25" s="14" t="n">
        <v>46755</v>
      </c>
    </row>
    <row r="27" customFormat="false" ht="21.75" hidden="false" customHeight="true" outlineLevel="0" collapsed="false">
      <c r="A27" s="18" t="s">
        <v>81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</row>
    <row r="28" customFormat="false" ht="18" hidden="false" customHeight="true" outlineLevel="0" collapsed="false">
      <c r="A28" s="5" t="s">
        <v>3</v>
      </c>
      <c r="B28" s="5" t="s">
        <v>4</v>
      </c>
      <c r="C28" s="5" t="s">
        <v>5</v>
      </c>
      <c r="D28" s="5" t="s">
        <v>6</v>
      </c>
      <c r="E28" s="5" t="s">
        <v>7</v>
      </c>
      <c r="F28" s="5" t="s">
        <v>10</v>
      </c>
      <c r="G28" s="5" t="s">
        <v>82</v>
      </c>
      <c r="I28" s="5" t="s">
        <v>45</v>
      </c>
      <c r="J28" s="5" t="s">
        <v>46</v>
      </c>
      <c r="K28" s="5" t="s">
        <v>47</v>
      </c>
      <c r="L28" s="5" t="s">
        <v>83</v>
      </c>
    </row>
    <row r="29" customFormat="false" ht="15" hidden="false" customHeight="true" outlineLevel="0" collapsed="false">
      <c r="A29" s="6" t="n">
        <v>1001</v>
      </c>
      <c r="B29" s="7" t="s">
        <v>19</v>
      </c>
      <c r="C29" s="6" t="n">
        <v>61</v>
      </c>
      <c r="D29" s="6" t="n">
        <v>48</v>
      </c>
      <c r="E29" s="6" t="n">
        <v>76</v>
      </c>
      <c r="F29" s="10" t="n">
        <f aca="false">AVERAGE(C29,D29,E29)</f>
        <v>61.6666666666667</v>
      </c>
      <c r="G29" s="19" t="str">
        <f aca="false">IF(F29&gt;=90,"A",IF(F29&gt;=70,"B",IF(F29&gt;=50,"C",IF(F29&gt;=35,"D","F"))))</f>
        <v>C</v>
      </c>
      <c r="I29" s="7" t="s">
        <v>51</v>
      </c>
      <c r="J29" s="7" t="s">
        <v>52</v>
      </c>
      <c r="K29" s="11" t="n">
        <v>25000</v>
      </c>
      <c r="L29" s="6" t="str">
        <f aca="false">IF(K29&gt;=30000,"Yes","No")</f>
        <v>No</v>
      </c>
    </row>
    <row r="30" customFormat="false" ht="15" hidden="false" customHeight="true" outlineLevel="0" collapsed="false">
      <c r="A30" s="12" t="n">
        <v>1002</v>
      </c>
      <c r="B30" s="13" t="s">
        <v>24</v>
      </c>
      <c r="C30" s="12" t="n">
        <v>78</v>
      </c>
      <c r="D30" s="12" t="n">
        <v>76</v>
      </c>
      <c r="E30" s="12" t="n">
        <v>70</v>
      </c>
      <c r="F30" s="16" t="n">
        <f aca="false">AVERAGE(C30,D30,E30)</f>
        <v>74.6666666666667</v>
      </c>
      <c r="G30" s="20" t="str">
        <f aca="false">IF(F30&gt;=90,"A",IF(F30&gt;=70,"B",IF(F30&gt;=50,"C",IF(F30&gt;=35,"D","F"))))</f>
        <v>B</v>
      </c>
      <c r="I30" s="13" t="s">
        <v>55</v>
      </c>
      <c r="J30" s="13" t="s">
        <v>52</v>
      </c>
      <c r="K30" s="17" t="n">
        <v>32000</v>
      </c>
      <c r="L30" s="21" t="str">
        <f aca="false">IF(K30&gt;=30000,"Yes","No")</f>
        <v>Yes</v>
      </c>
    </row>
    <row r="31" customFormat="false" ht="15" hidden="false" customHeight="true" outlineLevel="0" collapsed="false">
      <c r="A31" s="6" t="n">
        <v>1003</v>
      </c>
      <c r="B31" s="7" t="s">
        <v>28</v>
      </c>
      <c r="C31" s="6" t="n">
        <v>97</v>
      </c>
      <c r="D31" s="6" t="n">
        <v>60</v>
      </c>
      <c r="E31" s="6" t="n">
        <v>51</v>
      </c>
      <c r="F31" s="10" t="n">
        <f aca="false">AVERAGE(C31,D31,E31)</f>
        <v>69.3333333333333</v>
      </c>
      <c r="G31" s="19" t="str">
        <f aca="false">IF(F31&gt;=90,"A",IF(F31&gt;=70,"B",IF(F31&gt;=50,"C",IF(F31&gt;=35,"D","F"))))</f>
        <v>C</v>
      </c>
      <c r="I31" s="7" t="s">
        <v>58</v>
      </c>
      <c r="J31" s="7" t="s">
        <v>52</v>
      </c>
      <c r="K31" s="11" t="n">
        <v>28000</v>
      </c>
      <c r="L31" s="6" t="str">
        <f aca="false">IF(K31&gt;=30000,"Yes","No")</f>
        <v>No</v>
      </c>
    </row>
    <row r="32" customFormat="false" ht="15" hidden="false" customHeight="true" outlineLevel="0" collapsed="false">
      <c r="A32" s="12" t="n">
        <v>1004</v>
      </c>
      <c r="B32" s="13" t="s">
        <v>33</v>
      </c>
      <c r="C32" s="12" t="n">
        <v>74</v>
      </c>
      <c r="D32" s="12" t="n">
        <v>55</v>
      </c>
      <c r="E32" s="12" t="n">
        <v>46</v>
      </c>
      <c r="F32" s="16" t="n">
        <f aca="false">AVERAGE(C32,D32,E32)</f>
        <v>58.3333333333333</v>
      </c>
      <c r="G32" s="20" t="str">
        <f aca="false">IF(F32&gt;=90,"A",IF(F32&gt;=70,"B",IF(F32&gt;=50,"C",IF(F32&gt;=35,"D","F"))))</f>
        <v>C</v>
      </c>
      <c r="I32" s="13" t="s">
        <v>51</v>
      </c>
      <c r="J32" s="13" t="s">
        <v>61</v>
      </c>
      <c r="K32" s="17" t="n">
        <v>30000</v>
      </c>
      <c r="L32" s="21" t="str">
        <f aca="false">IF(K32&gt;=30000,"Yes","No")</f>
        <v>Yes</v>
      </c>
    </row>
    <row r="33" customFormat="false" ht="15" hidden="false" customHeight="true" outlineLevel="0" collapsed="false">
      <c r="A33" s="6" t="n">
        <v>1005</v>
      </c>
      <c r="B33" s="7" t="s">
        <v>37</v>
      </c>
      <c r="C33" s="6" t="n">
        <v>68</v>
      </c>
      <c r="D33" s="6" t="n">
        <v>74</v>
      </c>
      <c r="E33" s="6" t="n">
        <v>84</v>
      </c>
      <c r="F33" s="10" t="n">
        <f aca="false">AVERAGE(C33,D33,E33)</f>
        <v>75.3333333333333</v>
      </c>
      <c r="G33" s="19" t="str">
        <f aca="false">IF(F33&gt;=90,"A",IF(F33&gt;=70,"B",IF(F33&gt;=50,"C",IF(F33&gt;=35,"D","F"))))</f>
        <v>B</v>
      </c>
      <c r="I33" s="7" t="s">
        <v>55</v>
      </c>
      <c r="J33" s="7" t="s">
        <v>61</v>
      </c>
      <c r="K33" s="11" t="n">
        <v>35000</v>
      </c>
      <c r="L33" s="21" t="str">
        <f aca="false">IF(K33&gt;=30000,"Yes","No")</f>
        <v>Yes</v>
      </c>
    </row>
    <row r="34" customFormat="false" ht="15" hidden="false" customHeight="true" outlineLevel="0" collapsed="false">
      <c r="A34" s="12" t="n">
        <v>1006</v>
      </c>
      <c r="B34" s="13" t="s">
        <v>42</v>
      </c>
      <c r="C34" s="12" t="n">
        <v>80</v>
      </c>
      <c r="D34" s="12" t="n">
        <v>70</v>
      </c>
      <c r="E34" s="12" t="n">
        <v>65</v>
      </c>
      <c r="F34" s="16" t="n">
        <f aca="false">AVERAGE(C34,D34,E34)</f>
        <v>71.6666666666667</v>
      </c>
      <c r="G34" s="20" t="str">
        <f aca="false">IF(F34&gt;=90,"A",IF(F34&gt;=70,"B",IF(F34&gt;=50,"C",IF(F34&gt;=35,"D","F"))))</f>
        <v>B</v>
      </c>
    </row>
    <row r="35" customFormat="false" ht="15" hidden="false" customHeight="true" outlineLevel="0" collapsed="false">
      <c r="A35" s="6" t="n">
        <v>1007</v>
      </c>
      <c r="B35" s="7" t="s">
        <v>44</v>
      </c>
      <c r="C35" s="6" t="n">
        <v>75</v>
      </c>
      <c r="D35" s="6" t="n">
        <v>47</v>
      </c>
      <c r="E35" s="6" t="n">
        <v>78</v>
      </c>
      <c r="F35" s="10" t="n">
        <f aca="false">AVERAGE(C35,D35,E35)</f>
        <v>66.6666666666667</v>
      </c>
      <c r="G35" s="19" t="str">
        <f aca="false">IF(F35&gt;=90,"A",IF(F35&gt;=70,"B",IF(F35&gt;=50,"C",IF(F35&gt;=35,"D","F"))))</f>
        <v>C</v>
      </c>
    </row>
    <row r="36" customFormat="false" ht="15" hidden="false" customHeight="true" outlineLevel="0" collapsed="false">
      <c r="A36" s="12" t="n">
        <v>1008</v>
      </c>
      <c r="B36" s="13" t="s">
        <v>50</v>
      </c>
      <c r="C36" s="12" t="n">
        <v>94</v>
      </c>
      <c r="D36" s="12" t="n">
        <v>67</v>
      </c>
      <c r="E36" s="12" t="n">
        <v>64</v>
      </c>
      <c r="F36" s="16" t="n">
        <f aca="false">AVERAGE(C36,D36,E36)</f>
        <v>75</v>
      </c>
      <c r="G36" s="20" t="str">
        <f aca="false">IF(F36&gt;=90,"A",IF(F36&gt;=70,"B",IF(F36&gt;=50,"C",IF(F36&gt;=35,"D","F"))))</f>
        <v>B</v>
      </c>
    </row>
    <row r="37" customFormat="false" ht="15" hidden="false" customHeight="true" outlineLevel="0" collapsed="false">
      <c r="A37" s="6" t="n">
        <v>1009</v>
      </c>
      <c r="B37" s="7" t="s">
        <v>54</v>
      </c>
      <c r="C37" s="6" t="n">
        <v>41</v>
      </c>
      <c r="D37" s="6" t="n">
        <v>75</v>
      </c>
      <c r="E37" s="6" t="n">
        <v>56</v>
      </c>
      <c r="F37" s="10" t="n">
        <f aca="false">AVERAGE(C37,D37,E37)</f>
        <v>57.3333333333333</v>
      </c>
      <c r="G37" s="19" t="str">
        <f aca="false">IF(F37&gt;=90,"A",IF(F37&gt;=70,"B",IF(F37&gt;=50,"C",IF(F37&gt;=35,"D","F"))))</f>
        <v>C</v>
      </c>
    </row>
    <row r="38" customFormat="false" ht="15" hidden="false" customHeight="true" outlineLevel="0" collapsed="false">
      <c r="A38" s="12" t="n">
        <v>1010</v>
      </c>
      <c r="B38" s="13" t="s">
        <v>57</v>
      </c>
      <c r="C38" s="12" t="n">
        <v>98</v>
      </c>
      <c r="D38" s="12" t="n">
        <v>54</v>
      </c>
      <c r="E38" s="12" t="n">
        <v>58</v>
      </c>
      <c r="F38" s="16" t="n">
        <f aca="false">AVERAGE(C38,D38,E38)</f>
        <v>70</v>
      </c>
      <c r="G38" s="20" t="str">
        <f aca="false">IF(F38&gt;=90,"A",IF(F38&gt;=70,"B",IF(F38&gt;=50,"C",IF(F38&gt;=35,"D","F"))))</f>
        <v>B</v>
      </c>
    </row>
    <row r="39" customFormat="false" ht="15" hidden="false" customHeight="true" outlineLevel="0" collapsed="false">
      <c r="A39" s="6" t="n">
        <v>1011</v>
      </c>
      <c r="B39" s="7" t="s">
        <v>60</v>
      </c>
      <c r="C39" s="6" t="n">
        <v>73</v>
      </c>
      <c r="D39" s="6" t="n">
        <v>79</v>
      </c>
      <c r="E39" s="6" t="n">
        <v>53</v>
      </c>
      <c r="F39" s="10" t="n">
        <f aca="false">AVERAGE(C39,D39,E39)</f>
        <v>68.3333333333333</v>
      </c>
      <c r="G39" s="19" t="str">
        <f aca="false">IF(F39&gt;=90,"A",IF(F39&gt;=70,"B",IF(F39&gt;=50,"C",IF(F39&gt;=35,"D","F"))))</f>
        <v>C</v>
      </c>
    </row>
    <row r="40" customFormat="false" ht="15" hidden="false" customHeight="true" outlineLevel="0" collapsed="false">
      <c r="A40" s="12" t="n">
        <v>1012</v>
      </c>
      <c r="B40" s="13" t="s">
        <v>63</v>
      </c>
      <c r="C40" s="12" t="n">
        <v>85</v>
      </c>
      <c r="D40" s="12" t="n">
        <v>89</v>
      </c>
      <c r="E40" s="12" t="n">
        <v>79</v>
      </c>
      <c r="F40" s="16" t="n">
        <f aca="false">AVERAGE(C40,D40,E40)</f>
        <v>84.3333333333333</v>
      </c>
      <c r="G40" s="20" t="str">
        <f aca="false">IF(F40&gt;=90,"A",IF(F40&gt;=70,"B",IF(F40&gt;=50,"C",IF(F40&gt;=35,"D","F"))))</f>
        <v>B</v>
      </c>
    </row>
    <row r="41" customFormat="false" ht="15" hidden="false" customHeight="true" outlineLevel="0" collapsed="false">
      <c r="A41" s="6" t="n">
        <v>1013</v>
      </c>
      <c r="B41" s="7" t="s">
        <v>65</v>
      </c>
      <c r="C41" s="6" t="n">
        <v>98</v>
      </c>
      <c r="D41" s="6" t="n">
        <v>90</v>
      </c>
      <c r="E41" s="6" t="n">
        <v>97</v>
      </c>
      <c r="F41" s="10" t="n">
        <f aca="false">AVERAGE(C41,D41,E41)</f>
        <v>95</v>
      </c>
      <c r="G41" s="19" t="str">
        <f aca="false">IF(F41&gt;=90,"A",IF(F41&gt;=70,"B",IF(F41&gt;=50,"C",IF(F41&gt;=35,"D","F"))))</f>
        <v>A</v>
      </c>
    </row>
    <row r="42" customFormat="false" ht="15" hidden="false" customHeight="true" outlineLevel="0" collapsed="false">
      <c r="A42" s="12" t="n">
        <v>1014</v>
      </c>
      <c r="B42" s="13" t="s">
        <v>67</v>
      </c>
      <c r="C42" s="12" t="n">
        <v>93</v>
      </c>
      <c r="D42" s="12" t="n">
        <v>40</v>
      </c>
      <c r="E42" s="12" t="n">
        <v>44</v>
      </c>
      <c r="F42" s="16" t="n">
        <f aca="false">AVERAGE(C42,D42,E42)</f>
        <v>59</v>
      </c>
      <c r="G42" s="20" t="str">
        <f aca="false">IF(F42&gt;=90,"A",IF(F42&gt;=70,"B",IF(F42&gt;=50,"C",IF(F42&gt;=35,"D","F"))))</f>
        <v>C</v>
      </c>
    </row>
    <row r="43" customFormat="false" ht="15" hidden="false" customHeight="true" outlineLevel="0" collapsed="false">
      <c r="A43" s="6" t="n">
        <v>1015</v>
      </c>
      <c r="B43" s="7" t="s">
        <v>69</v>
      </c>
      <c r="C43" s="6" t="n">
        <v>70</v>
      </c>
      <c r="D43" s="6" t="n">
        <v>51</v>
      </c>
      <c r="E43" s="6" t="n">
        <v>75</v>
      </c>
      <c r="F43" s="10" t="n">
        <f aca="false">AVERAGE(C43,D43,E43)</f>
        <v>65.3333333333333</v>
      </c>
      <c r="G43" s="19" t="str">
        <f aca="false">IF(F43&gt;=90,"A",IF(F43&gt;=70,"B",IF(F43&gt;=50,"C",IF(F43&gt;=35,"D","F"))))</f>
        <v>C</v>
      </c>
    </row>
    <row r="44" customFormat="false" ht="15" hidden="false" customHeight="true" outlineLevel="0" collapsed="false">
      <c r="A44" s="12" t="n">
        <v>1016</v>
      </c>
      <c r="B44" s="13" t="s">
        <v>71</v>
      </c>
      <c r="C44" s="12" t="n">
        <v>98</v>
      </c>
      <c r="D44" s="12" t="n">
        <v>77</v>
      </c>
      <c r="E44" s="12" t="n">
        <v>60</v>
      </c>
      <c r="F44" s="16" t="n">
        <f aca="false">AVERAGE(C44,D44,E44)</f>
        <v>78.3333333333333</v>
      </c>
      <c r="G44" s="20" t="str">
        <f aca="false">IF(F44&gt;=90,"A",IF(F44&gt;=70,"B",IF(F44&gt;=50,"C",IF(F44&gt;=35,"D","F"))))</f>
        <v>B</v>
      </c>
    </row>
    <row r="45" customFormat="false" ht="15" hidden="false" customHeight="true" outlineLevel="0" collapsed="false">
      <c r="A45" s="6" t="n">
        <v>1017</v>
      </c>
      <c r="B45" s="7" t="s">
        <v>73</v>
      </c>
      <c r="C45" s="6" t="n">
        <v>66</v>
      </c>
      <c r="D45" s="6" t="n">
        <v>59</v>
      </c>
      <c r="E45" s="6" t="n">
        <v>40</v>
      </c>
      <c r="F45" s="10" t="n">
        <f aca="false">AVERAGE(C45,D45,E45)</f>
        <v>55</v>
      </c>
      <c r="G45" s="19" t="str">
        <f aca="false">IF(F45&gt;=90,"A",IF(F45&gt;=70,"B",IF(F45&gt;=50,"C",IF(F45&gt;=35,"D","F"))))</f>
        <v>C</v>
      </c>
    </row>
    <row r="46" customFormat="false" ht="15" hidden="false" customHeight="true" outlineLevel="0" collapsed="false">
      <c r="A46" s="12" t="n">
        <v>1018</v>
      </c>
      <c r="B46" s="13" t="s">
        <v>75</v>
      </c>
      <c r="C46" s="12" t="n">
        <v>82</v>
      </c>
      <c r="D46" s="12" t="n">
        <v>48</v>
      </c>
      <c r="E46" s="12" t="n">
        <v>79</v>
      </c>
      <c r="F46" s="16" t="n">
        <f aca="false">AVERAGE(C46,D46,E46)</f>
        <v>69.6666666666667</v>
      </c>
      <c r="G46" s="20" t="str">
        <f aca="false">IF(F46&gt;=90,"A",IF(F46&gt;=70,"B",IF(F46&gt;=50,"C",IF(F46&gt;=35,"D","F"))))</f>
        <v>C</v>
      </c>
    </row>
    <row r="47" customFormat="false" ht="15" hidden="false" customHeight="true" outlineLevel="0" collapsed="false">
      <c r="A47" s="6" t="n">
        <v>1019</v>
      </c>
      <c r="B47" s="7" t="s">
        <v>77</v>
      </c>
      <c r="C47" s="6" t="n">
        <v>90</v>
      </c>
      <c r="D47" s="6" t="n">
        <v>78</v>
      </c>
      <c r="E47" s="6" t="n">
        <v>60</v>
      </c>
      <c r="F47" s="10" t="n">
        <f aca="false">AVERAGE(C47,D47,E47)</f>
        <v>76</v>
      </c>
      <c r="G47" s="19" t="str">
        <f aca="false">IF(F47&gt;=90,"A",IF(F47&gt;=70,"B",IF(F47&gt;=50,"C",IF(F47&gt;=35,"D","F"))))</f>
        <v>B</v>
      </c>
    </row>
    <row r="48" customFormat="false" ht="15" hidden="false" customHeight="true" outlineLevel="0" collapsed="false">
      <c r="A48" s="12" t="n">
        <v>1020</v>
      </c>
      <c r="B48" s="13" t="s">
        <v>79</v>
      </c>
      <c r="C48" s="12" t="n">
        <v>83</v>
      </c>
      <c r="D48" s="12" t="n">
        <v>92</v>
      </c>
      <c r="E48" s="12" t="n">
        <v>55</v>
      </c>
      <c r="F48" s="16" t="n">
        <f aca="false">AVERAGE(C48,D48,E48)</f>
        <v>76.6666666666667</v>
      </c>
      <c r="G48" s="20" t="str">
        <f aca="false">IF(F48&gt;=90,"A",IF(F48&gt;=70,"B",IF(F48&gt;=50,"C",IF(F48&gt;=35,"D","F"))))</f>
        <v>B</v>
      </c>
    </row>
    <row r="50" customFormat="false" ht="21.75" hidden="false" customHeight="true" outlineLevel="0" collapsed="false">
      <c r="A50" s="18" t="s">
        <v>84</v>
      </c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</row>
    <row r="51" customFormat="false" ht="18" hidden="false" customHeight="true" outlineLevel="0" collapsed="false">
      <c r="A51" s="5" t="s">
        <v>3</v>
      </c>
      <c r="B51" s="5" t="s">
        <v>4</v>
      </c>
      <c r="C51" s="5" t="s">
        <v>5</v>
      </c>
      <c r="D51" s="5" t="s">
        <v>6</v>
      </c>
      <c r="E51" s="5" t="s">
        <v>7</v>
      </c>
      <c r="F51" s="5" t="s">
        <v>85</v>
      </c>
      <c r="H51" s="5" t="s">
        <v>11</v>
      </c>
      <c r="I51" s="5" t="s">
        <v>12</v>
      </c>
      <c r="J51" s="5" t="s">
        <v>13</v>
      </c>
      <c r="K51" s="5" t="s">
        <v>86</v>
      </c>
      <c r="L51" s="5" t="s">
        <v>87</v>
      </c>
    </row>
    <row r="52" customFormat="false" ht="15" hidden="false" customHeight="true" outlineLevel="0" collapsed="false">
      <c r="A52" s="6" t="n">
        <v>1001</v>
      </c>
      <c r="B52" s="7" t="s">
        <v>19</v>
      </c>
      <c r="C52" s="6" t="n">
        <v>61</v>
      </c>
      <c r="D52" s="6" t="n">
        <v>48</v>
      </c>
      <c r="E52" s="6" t="n">
        <v>76</v>
      </c>
      <c r="F52" s="6" t="str">
        <f aca="false">IF(AND(C52&gt;80,D52&gt;80),"Yes","No")</f>
        <v>No</v>
      </c>
      <c r="H52" s="6" t="n">
        <v>1</v>
      </c>
      <c r="I52" s="6" t="s">
        <v>20</v>
      </c>
      <c r="J52" s="7" t="s">
        <v>21</v>
      </c>
      <c r="K52" s="11" t="n">
        <v>1500</v>
      </c>
      <c r="L52" s="6" t="str">
        <f aca="false">IF(OR(K52&gt;1000,J52="a1"),"Yes","No")</f>
        <v>Yes</v>
      </c>
    </row>
    <row r="53" customFormat="false" ht="15" hidden="false" customHeight="true" outlineLevel="0" collapsed="false">
      <c r="A53" s="12" t="n">
        <v>1002</v>
      </c>
      <c r="B53" s="13" t="s">
        <v>24</v>
      </c>
      <c r="C53" s="12" t="n">
        <v>78</v>
      </c>
      <c r="D53" s="12" t="n">
        <v>76</v>
      </c>
      <c r="E53" s="12" t="n">
        <v>70</v>
      </c>
      <c r="F53" s="12" t="str">
        <f aca="false">IF(AND(C53&gt;80,D53&gt;80),"Yes","No")</f>
        <v>No</v>
      </c>
      <c r="H53" s="12" t="n">
        <v>2</v>
      </c>
      <c r="I53" s="12" t="s">
        <v>25</v>
      </c>
      <c r="J53" s="13" t="s">
        <v>26</v>
      </c>
      <c r="K53" s="17" t="n">
        <v>4500</v>
      </c>
      <c r="L53" s="12" t="str">
        <f aca="false">IF(OR(K53&gt;1000,J53="a1"),"Yes","No")</f>
        <v>Yes</v>
      </c>
    </row>
    <row r="54" customFormat="false" ht="15" hidden="false" customHeight="true" outlineLevel="0" collapsed="false">
      <c r="A54" s="6" t="n">
        <v>1003</v>
      </c>
      <c r="B54" s="7" t="s">
        <v>28</v>
      </c>
      <c r="C54" s="6" t="n">
        <v>97</v>
      </c>
      <c r="D54" s="6" t="n">
        <v>60</v>
      </c>
      <c r="E54" s="6" t="n">
        <v>51</v>
      </c>
      <c r="F54" s="6" t="str">
        <f aca="false">IF(AND(C54&gt;80,D54&gt;80),"Yes","No")</f>
        <v>No</v>
      </c>
      <c r="H54" s="6" t="n">
        <v>3</v>
      </c>
      <c r="I54" s="6" t="s">
        <v>29</v>
      </c>
      <c r="J54" s="7" t="s">
        <v>30</v>
      </c>
      <c r="K54" s="11" t="n">
        <v>900</v>
      </c>
      <c r="L54" s="6" t="str">
        <f aca="false">IF(OR(K54&gt;1000,J54="a1"),"Yes","No")</f>
        <v>No</v>
      </c>
    </row>
    <row r="55" customFormat="false" ht="15" hidden="false" customHeight="true" outlineLevel="0" collapsed="false">
      <c r="A55" s="12" t="n">
        <v>1004</v>
      </c>
      <c r="B55" s="13" t="s">
        <v>33</v>
      </c>
      <c r="C55" s="12" t="n">
        <v>74</v>
      </c>
      <c r="D55" s="12" t="n">
        <v>55</v>
      </c>
      <c r="E55" s="12" t="n">
        <v>46</v>
      </c>
      <c r="F55" s="12" t="str">
        <f aca="false">IF(AND(C55&gt;80,D55&gt;80),"Yes","No")</f>
        <v>No</v>
      </c>
      <c r="H55" s="12" t="n">
        <v>4</v>
      </c>
      <c r="I55" s="12" t="s">
        <v>34</v>
      </c>
      <c r="J55" s="13" t="s">
        <v>35</v>
      </c>
      <c r="K55" s="17" t="n">
        <v>2200</v>
      </c>
      <c r="L55" s="12" t="str">
        <f aca="false">IF(OR(K55&gt;1000,J55="a1"),"Yes","No")</f>
        <v>Yes</v>
      </c>
    </row>
    <row r="56" customFormat="false" ht="15" hidden="false" customHeight="true" outlineLevel="0" collapsed="false">
      <c r="A56" s="6" t="n">
        <v>1005</v>
      </c>
      <c r="B56" s="7" t="s">
        <v>37</v>
      </c>
      <c r="C56" s="6" t="n">
        <v>68</v>
      </c>
      <c r="D56" s="6" t="n">
        <v>74</v>
      </c>
      <c r="E56" s="6" t="n">
        <v>84</v>
      </c>
      <c r="F56" s="6" t="str">
        <f aca="false">IF(AND(C56&gt;80,D56&gt;80),"Yes","No")</f>
        <v>No</v>
      </c>
      <c r="H56" s="6" t="n">
        <v>5</v>
      </c>
      <c r="I56" s="6" t="s">
        <v>38</v>
      </c>
      <c r="J56" s="7" t="s">
        <v>39</v>
      </c>
      <c r="K56" s="11" t="n">
        <v>3200</v>
      </c>
      <c r="L56" s="6" t="str">
        <f aca="false">IF(OR(K56&gt;1000,J56="a1"),"Yes","No")</f>
        <v>Yes</v>
      </c>
    </row>
    <row r="57" customFormat="false" ht="15" hidden="false" customHeight="true" outlineLevel="0" collapsed="false">
      <c r="A57" s="12" t="n">
        <v>1006</v>
      </c>
      <c r="B57" s="13" t="s">
        <v>42</v>
      </c>
      <c r="C57" s="12" t="n">
        <v>80</v>
      </c>
      <c r="D57" s="12" t="n">
        <v>70</v>
      </c>
      <c r="E57" s="12" t="n">
        <v>65</v>
      </c>
      <c r="F57" s="12" t="str">
        <f aca="false">IF(AND(C57&gt;80,D57&gt;80),"Yes","No")</f>
        <v>No</v>
      </c>
    </row>
    <row r="58" customFormat="false" ht="15" hidden="false" customHeight="true" outlineLevel="0" collapsed="false">
      <c r="A58" s="6" t="n">
        <v>1007</v>
      </c>
      <c r="B58" s="7" t="s">
        <v>44</v>
      </c>
      <c r="C58" s="6" t="n">
        <v>75</v>
      </c>
      <c r="D58" s="6" t="n">
        <v>47</v>
      </c>
      <c r="E58" s="6" t="n">
        <v>78</v>
      </c>
      <c r="F58" s="6" t="str">
        <f aca="false">IF(AND(C58&gt;80,D58&gt;80),"Yes","No")</f>
        <v>No</v>
      </c>
    </row>
    <row r="59" customFormat="false" ht="15" hidden="false" customHeight="true" outlineLevel="0" collapsed="false">
      <c r="A59" s="12" t="n">
        <v>1008</v>
      </c>
      <c r="B59" s="13" t="s">
        <v>50</v>
      </c>
      <c r="C59" s="12" t="n">
        <v>94</v>
      </c>
      <c r="D59" s="12" t="n">
        <v>67</v>
      </c>
      <c r="E59" s="12" t="n">
        <v>64</v>
      </c>
      <c r="F59" s="12" t="str">
        <f aca="false">IF(AND(C59&gt;80,D59&gt;80),"Yes","No")</f>
        <v>No</v>
      </c>
    </row>
    <row r="60" customFormat="false" ht="15" hidden="false" customHeight="true" outlineLevel="0" collapsed="false">
      <c r="A60" s="6" t="n">
        <v>1009</v>
      </c>
      <c r="B60" s="7" t="s">
        <v>54</v>
      </c>
      <c r="C60" s="6" t="n">
        <v>41</v>
      </c>
      <c r="D60" s="6" t="n">
        <v>75</v>
      </c>
      <c r="E60" s="6" t="n">
        <v>56</v>
      </c>
      <c r="F60" s="6" t="str">
        <f aca="false">IF(AND(C60&gt;80,D60&gt;80),"Yes","No")</f>
        <v>No</v>
      </c>
    </row>
    <row r="61" customFormat="false" ht="15" hidden="false" customHeight="true" outlineLevel="0" collapsed="false">
      <c r="A61" s="12" t="n">
        <v>1010</v>
      </c>
      <c r="B61" s="13" t="s">
        <v>57</v>
      </c>
      <c r="C61" s="12" t="n">
        <v>98</v>
      </c>
      <c r="D61" s="12" t="n">
        <v>54</v>
      </c>
      <c r="E61" s="12" t="n">
        <v>58</v>
      </c>
      <c r="F61" s="12" t="str">
        <f aca="false">IF(AND(C61&gt;80,D61&gt;80),"Yes","No")</f>
        <v>No</v>
      </c>
    </row>
    <row r="62" customFormat="false" ht="15" hidden="false" customHeight="true" outlineLevel="0" collapsed="false">
      <c r="A62" s="6" t="n">
        <v>1011</v>
      </c>
      <c r="B62" s="7" t="s">
        <v>60</v>
      </c>
      <c r="C62" s="6" t="n">
        <v>73</v>
      </c>
      <c r="D62" s="6" t="n">
        <v>79</v>
      </c>
      <c r="E62" s="6" t="n">
        <v>53</v>
      </c>
      <c r="F62" s="6" t="str">
        <f aca="false">IF(AND(C62&gt;80,D62&gt;80),"Yes","No")</f>
        <v>No</v>
      </c>
    </row>
    <row r="63" customFormat="false" ht="15" hidden="false" customHeight="true" outlineLevel="0" collapsed="false">
      <c r="A63" s="12" t="n">
        <v>1012</v>
      </c>
      <c r="B63" s="13" t="s">
        <v>63</v>
      </c>
      <c r="C63" s="12" t="n">
        <v>85</v>
      </c>
      <c r="D63" s="12" t="n">
        <v>89</v>
      </c>
      <c r="E63" s="12" t="n">
        <v>79</v>
      </c>
      <c r="F63" s="12" t="str">
        <f aca="false">IF(AND(C63&gt;80,D63&gt;80),"Yes","No")</f>
        <v>Yes</v>
      </c>
    </row>
    <row r="64" customFormat="false" ht="15" hidden="false" customHeight="true" outlineLevel="0" collapsed="false">
      <c r="A64" s="6" t="n">
        <v>1013</v>
      </c>
      <c r="B64" s="7" t="s">
        <v>65</v>
      </c>
      <c r="C64" s="6" t="n">
        <v>98</v>
      </c>
      <c r="D64" s="6" t="n">
        <v>90</v>
      </c>
      <c r="E64" s="6" t="n">
        <v>97</v>
      </c>
      <c r="F64" s="6" t="str">
        <f aca="false">IF(AND(C64&gt;80,D64&gt;80),"Yes","No")</f>
        <v>Yes</v>
      </c>
    </row>
    <row r="65" customFormat="false" ht="15" hidden="false" customHeight="true" outlineLevel="0" collapsed="false">
      <c r="A65" s="12" t="n">
        <v>1014</v>
      </c>
      <c r="B65" s="13" t="s">
        <v>67</v>
      </c>
      <c r="C65" s="12" t="n">
        <v>93</v>
      </c>
      <c r="D65" s="12" t="n">
        <v>40</v>
      </c>
      <c r="E65" s="12" t="n">
        <v>44</v>
      </c>
      <c r="F65" s="12" t="str">
        <f aca="false">IF(AND(C65&gt;80,D65&gt;80),"Yes","No")</f>
        <v>No</v>
      </c>
    </row>
    <row r="66" customFormat="false" ht="15" hidden="false" customHeight="true" outlineLevel="0" collapsed="false">
      <c r="A66" s="6" t="n">
        <v>1015</v>
      </c>
      <c r="B66" s="7" t="s">
        <v>69</v>
      </c>
      <c r="C66" s="6" t="n">
        <v>70</v>
      </c>
      <c r="D66" s="6" t="n">
        <v>51</v>
      </c>
      <c r="E66" s="6" t="n">
        <v>75</v>
      </c>
      <c r="F66" s="6" t="str">
        <f aca="false">IF(AND(C66&gt;80,D66&gt;80),"Yes","No")</f>
        <v>No</v>
      </c>
    </row>
    <row r="67" customFormat="false" ht="15" hidden="false" customHeight="true" outlineLevel="0" collapsed="false">
      <c r="A67" s="12" t="n">
        <v>1016</v>
      </c>
      <c r="B67" s="13" t="s">
        <v>71</v>
      </c>
      <c r="C67" s="12" t="n">
        <v>98</v>
      </c>
      <c r="D67" s="12" t="n">
        <v>77</v>
      </c>
      <c r="E67" s="12" t="n">
        <v>60</v>
      </c>
      <c r="F67" s="12" t="str">
        <f aca="false">IF(AND(C67&gt;80,D67&gt;80),"Yes","No")</f>
        <v>No</v>
      </c>
    </row>
    <row r="68" customFormat="false" ht="15" hidden="false" customHeight="true" outlineLevel="0" collapsed="false">
      <c r="A68" s="6" t="n">
        <v>1017</v>
      </c>
      <c r="B68" s="7" t="s">
        <v>73</v>
      </c>
      <c r="C68" s="6" t="n">
        <v>66</v>
      </c>
      <c r="D68" s="6" t="n">
        <v>59</v>
      </c>
      <c r="E68" s="6" t="n">
        <v>40</v>
      </c>
      <c r="F68" s="6" t="str">
        <f aca="false">IF(AND(C68&gt;80,D68&gt;80),"Yes","No")</f>
        <v>No</v>
      </c>
    </row>
    <row r="69" customFormat="false" ht="15" hidden="false" customHeight="true" outlineLevel="0" collapsed="false">
      <c r="A69" s="12" t="n">
        <v>1018</v>
      </c>
      <c r="B69" s="13" t="s">
        <v>75</v>
      </c>
      <c r="C69" s="12" t="n">
        <v>82</v>
      </c>
      <c r="D69" s="12" t="n">
        <v>48</v>
      </c>
      <c r="E69" s="12" t="n">
        <v>79</v>
      </c>
      <c r="F69" s="12" t="str">
        <f aca="false">IF(AND(C69&gt;80,D69&gt;80),"Yes","No")</f>
        <v>No</v>
      </c>
    </row>
    <row r="70" customFormat="false" ht="15" hidden="false" customHeight="true" outlineLevel="0" collapsed="false">
      <c r="A70" s="6" t="n">
        <v>1019</v>
      </c>
      <c r="B70" s="7" t="s">
        <v>77</v>
      </c>
      <c r="C70" s="6" t="n">
        <v>90</v>
      </c>
      <c r="D70" s="6" t="n">
        <v>78</v>
      </c>
      <c r="E70" s="6" t="n">
        <v>60</v>
      </c>
      <c r="F70" s="6" t="str">
        <f aca="false">IF(AND(C70&gt;80,D70&gt;80),"Yes","No")</f>
        <v>No</v>
      </c>
    </row>
    <row r="71" customFormat="false" ht="15" hidden="false" customHeight="true" outlineLevel="0" collapsed="false">
      <c r="A71" s="12" t="n">
        <v>1020</v>
      </c>
      <c r="B71" s="13" t="s">
        <v>79</v>
      </c>
      <c r="C71" s="12" t="n">
        <v>83</v>
      </c>
      <c r="D71" s="12" t="n">
        <v>92</v>
      </c>
      <c r="E71" s="12" t="n">
        <v>55</v>
      </c>
      <c r="F71" s="12" t="str">
        <f aca="false">IF(AND(C71&gt;80,D71&gt;80),"Yes","No")</f>
        <v>Yes</v>
      </c>
    </row>
    <row r="73" customFormat="false" ht="21.75" hidden="false" customHeight="true" outlineLevel="0" collapsed="false">
      <c r="A73" s="18" t="s">
        <v>88</v>
      </c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</row>
    <row r="74" customFormat="false" ht="18" hidden="false" customHeight="true" outlineLevel="0" collapsed="false">
      <c r="A74" s="5" t="s">
        <v>89</v>
      </c>
      <c r="B74" s="5" t="s">
        <v>90</v>
      </c>
      <c r="C74" s="5" t="s">
        <v>91</v>
      </c>
      <c r="D74" s="5" t="s">
        <v>92</v>
      </c>
    </row>
    <row r="75" customFormat="false" ht="34.5" hidden="false" customHeight="true" outlineLevel="0" collapsed="false">
      <c r="A75" s="22" t="s">
        <v>93</v>
      </c>
      <c r="B75" s="23" t="s">
        <v>94</v>
      </c>
      <c r="C75" s="24" t="n">
        <f aca="false">COUNTIFS(C6:C25,"&gt;50")</f>
        <v>19</v>
      </c>
      <c r="D75" s="25" t="n">
        <f aca="false">COUNTIFS(C6:C25,"&gt;50")</f>
        <v>19</v>
      </c>
    </row>
    <row r="76" customFormat="false" ht="23.25" hidden="false" customHeight="true" outlineLevel="0" collapsed="false">
      <c r="A76" s="22" t="s">
        <v>95</v>
      </c>
      <c r="B76" s="26" t="s">
        <v>96</v>
      </c>
      <c r="C76" s="27" t="n">
        <f aca="false">SUMIFS(L13:L17,J13:J17,"Priya",K13:K17,"January")</f>
        <v>32000</v>
      </c>
      <c r="D76" s="25" t="n">
        <f aca="false">SUMIFS(L13:L17,J13:J17,"Priya",K13:K17,"January")</f>
        <v>32000</v>
      </c>
    </row>
    <row r="77" customFormat="false" ht="45.75" hidden="false" customHeight="true" outlineLevel="0" collapsed="false">
      <c r="A77" s="22" t="s">
        <v>97</v>
      </c>
      <c r="B77" s="23" t="s">
        <v>98</v>
      </c>
      <c r="C77" s="24" t="n">
        <f aca="false">AVERAGEIFS(C6:C25,C6:C25,"&gt;60")</f>
        <v>82.2631578947368</v>
      </c>
      <c r="D77" s="25" t="n">
        <f aca="false">AVERAGEIFS(C6:C25,C6:C25,"&gt;60")</f>
        <v>82.2631578947368</v>
      </c>
    </row>
    <row r="79" customFormat="false" ht="21.75" hidden="false" customHeight="true" outlineLevel="0" collapsed="false">
      <c r="A79" s="18" t="s">
        <v>99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</row>
    <row r="80" customFormat="false" ht="18" hidden="false" customHeight="true" outlineLevel="0" collapsed="false">
      <c r="A80" s="5" t="s">
        <v>89</v>
      </c>
      <c r="B80" s="5" t="s">
        <v>100</v>
      </c>
      <c r="C80" s="5" t="s">
        <v>101</v>
      </c>
      <c r="D80" s="5" t="s">
        <v>102</v>
      </c>
    </row>
    <row r="81" customFormat="false" ht="23.25" hidden="false" customHeight="true" outlineLevel="0" collapsed="false">
      <c r="A81" s="22" t="s">
        <v>103</v>
      </c>
      <c r="B81" s="6" t="s">
        <v>104</v>
      </c>
      <c r="C81" s="24" t="str">
        <f aca="false">VLOOKUP(1015,$A$6:$B$25,2,0)</f>
        <v>Student 15</v>
      </c>
      <c r="D81" s="25" t="str">
        <f aca="false">VLOOKUP(1015,$A$6:$B$25,2,0)</f>
        <v>Student 15</v>
      </c>
    </row>
    <row r="82" customFormat="false" ht="15" hidden="false" customHeight="true" outlineLevel="0" collapsed="false">
      <c r="A82" s="22" t="s">
        <v>105</v>
      </c>
      <c r="B82" s="12" t="s">
        <v>106</v>
      </c>
      <c r="C82" s="27" t="n">
        <f aca="false">VLOOKUP("a1",$K$6:$M$10,3,0)</f>
        <v>1500</v>
      </c>
      <c r="D82" s="25" t="n">
        <f aca="false">VLOOKUP("a1",$K$6:$M$10,3,0)</f>
        <v>1500</v>
      </c>
    </row>
    <row r="84" customFormat="false" ht="21.75" hidden="false" customHeight="true" outlineLevel="0" collapsed="false">
      <c r="A84" s="18" t="s">
        <v>107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</row>
    <row r="85" customFormat="false" ht="18" hidden="false" customHeight="true" outlineLevel="0" collapsed="false">
      <c r="A85" s="5" t="s">
        <v>89</v>
      </c>
      <c r="B85" s="5" t="s">
        <v>108</v>
      </c>
      <c r="C85" s="5" t="s">
        <v>109</v>
      </c>
      <c r="D85" s="5" t="s">
        <v>91</v>
      </c>
      <c r="E85" s="5" t="s">
        <v>102</v>
      </c>
    </row>
    <row r="86" customFormat="false" ht="23.25" hidden="false" customHeight="true" outlineLevel="0" collapsed="false">
      <c r="A86" s="22" t="s">
        <v>110</v>
      </c>
      <c r="B86" s="23" t="s">
        <v>111</v>
      </c>
      <c r="C86" s="6" t="s">
        <v>112</v>
      </c>
      <c r="D86" s="28" t="n">
        <f aca="false">INDEX($L$13:$L$17,MATCH(1,($J$13:$J$17="Priya")*($K$13:$K$17="January"),0))</f>
        <v>32000</v>
      </c>
      <c r="E86" s="29" t="n">
        <f aca="false">INDEX($L$13:$L$17,MATCH(1,($J$13:$J$17="Priya")*($K$13:$K$17="January"),0))</f>
        <v>32000</v>
      </c>
    </row>
    <row r="87" customFormat="false" ht="23.25" hidden="false" customHeight="true" outlineLevel="0" collapsed="false">
      <c r="A87" s="22" t="s">
        <v>113</v>
      </c>
      <c r="B87" s="26" t="s">
        <v>114</v>
      </c>
      <c r="C87" s="12" t="s">
        <v>115</v>
      </c>
      <c r="D87" s="27" t="str">
        <f aca="false">INDEX($P$6:$P$25,MATCH(3002,$N$6:$N$25,0))</f>
        <v>Finance</v>
      </c>
      <c r="E87" s="25" t="str">
        <f aca="false">INDEX($P$6:$P$25,MATCH(3002,$N$6:$N$25,0))</f>
        <v>Finance</v>
      </c>
    </row>
    <row r="88" customFormat="false" ht="23.25" hidden="false" customHeight="true" outlineLevel="0" collapsed="false">
      <c r="A88" s="22" t="s">
        <v>116</v>
      </c>
      <c r="B88" s="23" t="s">
        <v>117</v>
      </c>
      <c r="C88" s="6" t="s">
        <v>115</v>
      </c>
      <c r="D88" s="28" t="n">
        <f aca="false">INDEX($Q$6:$Q$25,MATCH(3002,$N$6:$N$25,0))</f>
        <v>31943</v>
      </c>
      <c r="E88" s="29" t="n">
        <f aca="false">INDEX($Q$6:$Q$25,MATCH(3002,$N$6:$N$25,0))</f>
        <v>31943</v>
      </c>
    </row>
    <row r="90" customFormat="false" ht="21.75" hidden="false" customHeight="true" outlineLevel="0" collapsed="false">
      <c r="A90" s="18" t="s">
        <v>118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</row>
    <row r="91" customFormat="false" ht="18" hidden="false" customHeight="true" outlineLevel="0" collapsed="false">
      <c r="A91" s="5" t="s">
        <v>119</v>
      </c>
      <c r="B91" s="5" t="s">
        <v>120</v>
      </c>
      <c r="C91" s="5" t="s">
        <v>121</v>
      </c>
      <c r="D91" s="5" t="s">
        <v>122</v>
      </c>
      <c r="E91" s="5" t="s">
        <v>123</v>
      </c>
      <c r="F91" s="5" t="s">
        <v>124</v>
      </c>
    </row>
    <row r="92" customFormat="false" ht="15" hidden="false" customHeight="true" outlineLevel="0" collapsed="false">
      <c r="A92" s="6" t="n">
        <v>1</v>
      </c>
      <c r="B92" s="7" t="s">
        <v>125</v>
      </c>
      <c r="C92" s="30" t="str">
        <f aca="false">LEFT(B92,FIND(" ",B92)-1)</f>
        <v>PRIYANSH</v>
      </c>
      <c r="D92" s="30" t="str">
        <f aca="false">UPPER(B92)</f>
        <v>PRIYANSH VEKARIYA</v>
      </c>
      <c r="E92" s="30" t="str">
        <f aca="false">LOWER(B92)</f>
        <v>priyansh vekariya</v>
      </c>
      <c r="F92" s="31" t="n">
        <f aca="false">LEN(B92)</f>
        <v>17</v>
      </c>
    </row>
    <row r="93" customFormat="false" ht="15" hidden="false" customHeight="true" outlineLevel="0" collapsed="false">
      <c r="A93" s="12" t="n">
        <v>2</v>
      </c>
      <c r="B93" s="13" t="s">
        <v>126</v>
      </c>
      <c r="C93" s="30" t="str">
        <f aca="false">LEFT(B93,FIND(" ",B93)-1)</f>
        <v>ANSH</v>
      </c>
      <c r="D93" s="30" t="str">
        <f aca="false">UPPER(B93)</f>
        <v>ANSH PATOLIYA</v>
      </c>
      <c r="E93" s="30" t="str">
        <f aca="false">LOWER(B93)</f>
        <v>ansh patoliya</v>
      </c>
      <c r="F93" s="31" t="n">
        <f aca="false">LEN(B93)</f>
        <v>13</v>
      </c>
    </row>
    <row r="94" customFormat="false" ht="15" hidden="false" customHeight="true" outlineLevel="0" collapsed="false">
      <c r="A94" s="6" t="n">
        <v>3</v>
      </c>
      <c r="B94" s="7" t="s">
        <v>127</v>
      </c>
      <c r="C94" s="30" t="str">
        <f aca="false">LEFT(B94,FIND(" ",B94)-1)</f>
        <v>RAVI</v>
      </c>
      <c r="D94" s="30" t="str">
        <f aca="false">UPPER(B94)</f>
        <v>RAVI SHARMA</v>
      </c>
      <c r="E94" s="30" t="str">
        <f aca="false">LOWER(B94)</f>
        <v>ravi sharma</v>
      </c>
      <c r="F94" s="31" t="n">
        <f aca="false">LEN(B94)</f>
        <v>11</v>
      </c>
    </row>
    <row r="95" customFormat="false" ht="15" hidden="false" customHeight="true" outlineLevel="0" collapsed="false">
      <c r="A95" s="12" t="n">
        <v>4</v>
      </c>
      <c r="B95" s="13" t="s">
        <v>128</v>
      </c>
      <c r="C95" s="30" t="str">
        <f aca="false">LEFT(B95,FIND(" ",B95)-1)</f>
        <v>POOJA</v>
      </c>
      <c r="D95" s="30" t="str">
        <f aca="false">UPPER(B95)</f>
        <v>POOJA MEHTA</v>
      </c>
      <c r="E95" s="30" t="str">
        <f aca="false">LOWER(B95)</f>
        <v>pooja mehta</v>
      </c>
      <c r="F95" s="31" t="n">
        <f aca="false">LEN(B95)</f>
        <v>11</v>
      </c>
    </row>
    <row r="96" customFormat="false" ht="15" hidden="false" customHeight="true" outlineLevel="0" collapsed="false">
      <c r="A96" s="6" t="n">
        <v>5</v>
      </c>
      <c r="B96" s="7" t="s">
        <v>129</v>
      </c>
      <c r="C96" s="30" t="str">
        <f aca="false">LEFT(B96,FIND(" ",B96)-1)</f>
        <v>NITIN</v>
      </c>
      <c r="D96" s="30" t="str">
        <f aca="false">UPPER(B96)</f>
        <v>NITIN PATEL</v>
      </c>
      <c r="E96" s="30" t="str">
        <f aca="false">LOWER(B96)</f>
        <v>nitin patel</v>
      </c>
      <c r="F96" s="31" t="n">
        <f aca="false">LEN(B96)</f>
        <v>11</v>
      </c>
    </row>
    <row r="98" customFormat="false" ht="21.75" hidden="false" customHeight="true" outlineLevel="0" collapsed="false">
      <c r="A98" s="18" t="s">
        <v>130</v>
      </c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</row>
    <row r="99" customFormat="false" ht="18" hidden="false" customHeight="true" outlineLevel="0" collapsed="false">
      <c r="A99" s="5" t="s">
        <v>89</v>
      </c>
      <c r="B99" s="5" t="s">
        <v>108</v>
      </c>
      <c r="C99" s="5" t="s">
        <v>100</v>
      </c>
      <c r="D99" s="5" t="s">
        <v>131</v>
      </c>
      <c r="E99" s="5" t="s">
        <v>132</v>
      </c>
    </row>
    <row r="100" customFormat="false" ht="15" hidden="false" customHeight="true" outlineLevel="0" collapsed="false">
      <c r="A100" s="22" t="s">
        <v>133</v>
      </c>
      <c r="B100" s="7" t="s">
        <v>134</v>
      </c>
      <c r="C100" s="6" t="s">
        <v>55</v>
      </c>
      <c r="D100" s="32" t="s">
        <v>135</v>
      </c>
      <c r="E100" s="25" t="s">
        <v>136</v>
      </c>
    </row>
    <row r="101" customFormat="false" ht="15" hidden="false" customHeight="true" outlineLevel="0" collapsed="false">
      <c r="A101" s="22" t="s">
        <v>137</v>
      </c>
      <c r="B101" s="13" t="s">
        <v>138</v>
      </c>
      <c r="C101" s="12" t="s">
        <v>36</v>
      </c>
      <c r="D101" s="33" t="s">
        <v>139</v>
      </c>
      <c r="E101" s="25" t="s">
        <v>140</v>
      </c>
    </row>
    <row r="102" customFormat="false" ht="15" hidden="false" customHeight="true" outlineLevel="0" collapsed="false">
      <c r="A102" s="34" t="s">
        <v>141</v>
      </c>
      <c r="B102" s="34"/>
      <c r="C102" s="34"/>
      <c r="D102" s="34"/>
      <c r="E102" s="34"/>
    </row>
    <row r="104" customFormat="false" ht="21.75" hidden="false" customHeight="true" outlineLevel="0" collapsed="false">
      <c r="A104" s="18" t="s">
        <v>142</v>
      </c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</row>
    <row r="105" customFormat="false" ht="18" hidden="false" customHeight="true" outlineLevel="0" collapsed="false">
      <c r="A105" s="5" t="s">
        <v>119</v>
      </c>
      <c r="B105" s="5" t="s">
        <v>13</v>
      </c>
      <c r="D105" s="5" t="s">
        <v>89</v>
      </c>
      <c r="E105" s="5" t="s">
        <v>100</v>
      </c>
      <c r="F105" s="5" t="s">
        <v>143</v>
      </c>
      <c r="G105" s="5" t="s">
        <v>144</v>
      </c>
    </row>
    <row r="106" customFormat="false" ht="15" hidden="false" customHeight="true" outlineLevel="0" collapsed="false">
      <c r="A106" s="6" t="n">
        <v>1</v>
      </c>
      <c r="B106" s="7" t="s">
        <v>21</v>
      </c>
      <c r="D106" s="22" t="s">
        <v>145</v>
      </c>
      <c r="E106" s="35" t="s">
        <v>146</v>
      </c>
      <c r="F106" s="36" t="s">
        <v>147</v>
      </c>
      <c r="G106" s="25" t="s">
        <v>148</v>
      </c>
    </row>
    <row r="107" customFormat="false" ht="15" hidden="false" customHeight="true" outlineLevel="0" collapsed="false">
      <c r="A107" s="12" t="n">
        <v>2</v>
      </c>
      <c r="B107" s="13" t="s">
        <v>26</v>
      </c>
    </row>
    <row r="108" customFormat="false" ht="15" hidden="false" customHeight="true" outlineLevel="0" collapsed="false">
      <c r="A108" s="6" t="n">
        <v>3</v>
      </c>
      <c r="B108" s="7" t="s">
        <v>30</v>
      </c>
    </row>
    <row r="109" customFormat="false" ht="15" hidden="false" customHeight="true" outlineLevel="0" collapsed="false">
      <c r="A109" s="12" t="n">
        <v>4</v>
      </c>
      <c r="B109" s="13" t="s">
        <v>35</v>
      </c>
    </row>
    <row r="110" customFormat="false" ht="15" hidden="false" customHeight="true" outlineLevel="0" collapsed="false">
      <c r="A110" s="6" t="n">
        <v>5</v>
      </c>
      <c r="B110" s="7" t="s">
        <v>39</v>
      </c>
    </row>
    <row r="112" customFormat="false" ht="21.75" hidden="false" customHeight="true" outlineLevel="0" collapsed="false">
      <c r="A112" s="18" t="s">
        <v>149</v>
      </c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</row>
    <row r="113" customFormat="false" ht="18" hidden="false" customHeight="true" outlineLevel="0" collapsed="false">
      <c r="A113" s="5" t="s">
        <v>89</v>
      </c>
      <c r="B113" s="5" t="s">
        <v>150</v>
      </c>
      <c r="C113" s="5" t="s">
        <v>151</v>
      </c>
      <c r="D113" s="5" t="s">
        <v>102</v>
      </c>
    </row>
    <row r="114" customFormat="false" ht="15" hidden="false" customHeight="true" outlineLevel="0" collapsed="false">
      <c r="A114" s="22" t="s">
        <v>152</v>
      </c>
      <c r="B114" s="6" t="s">
        <v>153</v>
      </c>
      <c r="C114" s="32" t="n">
        <f aca="true">INDIRECT("C6")</f>
        <v>61</v>
      </c>
      <c r="D114" s="25" t="n">
        <f aca="true">INDIRECT(B114)</f>
        <v>61</v>
      </c>
    </row>
    <row r="115" customFormat="false" ht="15" hidden="false" customHeight="true" outlineLevel="0" collapsed="false">
      <c r="A115" s="22" t="s">
        <v>154</v>
      </c>
      <c r="B115" s="12" t="s">
        <v>155</v>
      </c>
      <c r="C115" s="33" t="n">
        <f aca="true">INDIRECT("C7")</f>
        <v>78</v>
      </c>
      <c r="D115" s="25" t="n">
        <f aca="true">INDIRECT(B115)</f>
        <v>78</v>
      </c>
    </row>
    <row r="116" customFormat="false" ht="15" hidden="false" customHeight="true" outlineLevel="0" collapsed="false">
      <c r="A116" s="22" t="s">
        <v>156</v>
      </c>
      <c r="B116" s="6" t="s">
        <v>157</v>
      </c>
      <c r="C116" s="32" t="n">
        <f aca="true">INDIRECT("C8")</f>
        <v>97</v>
      </c>
      <c r="D116" s="25" t="n">
        <f aca="true">INDIRECT(B116)</f>
        <v>97</v>
      </c>
    </row>
    <row r="117" customFormat="false" ht="15" hidden="false" customHeight="true" outlineLevel="0" collapsed="false">
      <c r="A117" s="34" t="s">
        <v>158</v>
      </c>
      <c r="B117" s="34"/>
      <c r="C117" s="34"/>
      <c r="D117" s="34"/>
    </row>
    <row r="119" customFormat="false" ht="21.75" hidden="false" customHeight="true" outlineLevel="0" collapsed="false">
      <c r="A119" s="18" t="s">
        <v>159</v>
      </c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</row>
    <row r="120" customFormat="false" ht="18" hidden="false" customHeight="true" outlineLevel="0" collapsed="false">
      <c r="A120" s="5" t="s">
        <v>89</v>
      </c>
      <c r="B120" s="5" t="s">
        <v>108</v>
      </c>
      <c r="C120" s="5" t="s">
        <v>160</v>
      </c>
      <c r="D120" s="5" t="s">
        <v>161</v>
      </c>
    </row>
    <row r="121" customFormat="false" ht="15" hidden="false" customHeight="true" outlineLevel="0" collapsed="false">
      <c r="A121" s="22" t="s">
        <v>162</v>
      </c>
      <c r="B121" s="7" t="s">
        <v>163</v>
      </c>
      <c r="C121" s="37" t="n">
        <f aca="true">OFFSET(L13,0,0)</f>
        <v>25000</v>
      </c>
      <c r="D121" s="29" t="n">
        <f aca="true">OFFSET(L13,0,0)</f>
        <v>25000</v>
      </c>
    </row>
    <row r="122" customFormat="false" ht="15" hidden="false" customHeight="true" outlineLevel="0" collapsed="false">
      <c r="A122" s="22" t="s">
        <v>164</v>
      </c>
      <c r="B122" s="13" t="s">
        <v>165</v>
      </c>
      <c r="C122" s="38" t="n">
        <f aca="true">OFFSET(L13,1,0)</f>
        <v>32000</v>
      </c>
      <c r="D122" s="29" t="n">
        <f aca="true">OFFSET(L13,1,0)</f>
        <v>32000</v>
      </c>
    </row>
    <row r="123" customFormat="false" ht="15" hidden="false" customHeight="true" outlineLevel="0" collapsed="false">
      <c r="A123" s="22" t="s">
        <v>166</v>
      </c>
      <c r="B123" s="7" t="s">
        <v>167</v>
      </c>
      <c r="C123" s="37" t="n">
        <f aca="true">OFFSET(L13,2,0)</f>
        <v>28000</v>
      </c>
      <c r="D123" s="29" t="n">
        <f aca="true">OFFSET(L13,2,0)</f>
        <v>28000</v>
      </c>
    </row>
    <row r="124" customFormat="false" ht="15" hidden="false" customHeight="true" outlineLevel="0" collapsed="false">
      <c r="A124" s="22" t="s">
        <v>168</v>
      </c>
      <c r="B124" s="13" t="s">
        <v>169</v>
      </c>
      <c r="C124" s="38" t="n">
        <f aca="true">OFFSET(L13,3,0)</f>
        <v>30000</v>
      </c>
      <c r="D124" s="29" t="n">
        <f aca="true">OFFSET(L13,3,0)</f>
        <v>30000</v>
      </c>
    </row>
    <row r="125" customFormat="false" ht="15" hidden="false" customHeight="true" outlineLevel="0" collapsed="false">
      <c r="A125" s="22" t="s">
        <v>170</v>
      </c>
      <c r="B125" s="7" t="s">
        <v>171</v>
      </c>
      <c r="C125" s="37" t="n">
        <f aca="true">OFFSET(L13,4,0)</f>
        <v>35000</v>
      </c>
      <c r="D125" s="29" t="n">
        <f aca="true">OFFSET(L13,4,0)</f>
        <v>35000</v>
      </c>
    </row>
    <row r="126" customFormat="false" ht="15" hidden="false" customHeight="true" outlineLevel="0" collapsed="false">
      <c r="A126" s="34" t="s">
        <v>172</v>
      </c>
      <c r="B126" s="34"/>
      <c r="C126" s="34"/>
      <c r="D126" s="34"/>
    </row>
    <row r="128" customFormat="false" ht="21.75" hidden="false" customHeight="true" outlineLevel="0" collapsed="false">
      <c r="A128" s="18" t="s">
        <v>173</v>
      </c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</row>
    <row r="129" customFormat="false" ht="18" hidden="false" customHeight="true" outlineLevel="0" collapsed="false">
      <c r="A129" s="5" t="s">
        <v>89</v>
      </c>
      <c r="B129" s="5" t="s">
        <v>108</v>
      </c>
      <c r="C129" s="5" t="s">
        <v>174</v>
      </c>
      <c r="D129" s="5" t="s">
        <v>91</v>
      </c>
      <c r="E129" s="5" t="s">
        <v>102</v>
      </c>
    </row>
    <row r="130" customFormat="false" ht="15" hidden="false" customHeight="true" outlineLevel="0" collapsed="false">
      <c r="A130" s="22" t="s">
        <v>175</v>
      </c>
      <c r="B130" s="39" t="s">
        <v>176</v>
      </c>
      <c r="C130" s="40" t="n">
        <v>38955</v>
      </c>
      <c r="D130" s="39" t="s">
        <v>177</v>
      </c>
      <c r="E130" s="35" t="s">
        <v>178</v>
      </c>
    </row>
    <row r="131" customFormat="false" ht="15" hidden="false" customHeight="true" outlineLevel="0" collapsed="false">
      <c r="A131" s="22" t="s">
        <v>179</v>
      </c>
      <c r="B131" s="39" t="s">
        <v>180</v>
      </c>
      <c r="C131" s="40" t="n">
        <v>38955</v>
      </c>
      <c r="D131" s="36" t="n">
        <f aca="true">DATEDIF(C131,TODAY(),"Y")</f>
        <v>19</v>
      </c>
      <c r="E131" s="25" t="n">
        <f aca="true">DATEDIF(C131,TODAY(),"Y")</f>
        <v>19</v>
      </c>
    </row>
    <row r="132" customFormat="false" ht="15" hidden="false" customHeight="true" outlineLevel="0" collapsed="false">
      <c r="A132" s="22" t="s">
        <v>181</v>
      </c>
      <c r="B132" s="39" t="s">
        <v>182</v>
      </c>
      <c r="C132" s="40" t="n">
        <v>39323</v>
      </c>
      <c r="D132" s="39" t="s">
        <v>177</v>
      </c>
      <c r="E132" s="35" t="s">
        <v>178</v>
      </c>
    </row>
    <row r="133" customFormat="false" ht="15" hidden="false" customHeight="true" outlineLevel="0" collapsed="false">
      <c r="A133" s="22" t="s">
        <v>183</v>
      </c>
      <c r="B133" s="39" t="s">
        <v>184</v>
      </c>
      <c r="C133" s="35" t="s">
        <v>178</v>
      </c>
      <c r="D133" s="36" t="n">
        <f aca="false">C132-C130</f>
        <v>368</v>
      </c>
      <c r="E133" s="41" t="n">
        <f aca="false">C132-C130</f>
        <v>368</v>
      </c>
    </row>
    <row r="134" customFormat="false" ht="15" hidden="false" customHeight="true" outlineLevel="0" collapsed="false">
      <c r="A134" s="22" t="s">
        <v>185</v>
      </c>
      <c r="B134" s="39" t="s">
        <v>186</v>
      </c>
      <c r="C134" s="35" t="s">
        <v>178</v>
      </c>
      <c r="D134" s="42" t="n">
        <f aca="true">TODAY()</f>
        <v>46104</v>
      </c>
      <c r="E134" s="43" t="n">
        <f aca="true">TODAY()</f>
        <v>46104</v>
      </c>
    </row>
    <row r="135" customFormat="false" ht="15" hidden="false" customHeight="true" outlineLevel="0" collapsed="false">
      <c r="A135" s="22" t="s">
        <v>187</v>
      </c>
      <c r="B135" s="39" t="s">
        <v>188</v>
      </c>
      <c r="C135" s="35" t="s">
        <v>178</v>
      </c>
      <c r="D135" s="44" t="n">
        <f aca="true">NOW()</f>
        <v>46104.50286696</v>
      </c>
      <c r="E135" s="45" t="n">
        <f aca="true">NOW()</f>
        <v>46104.5028669604</v>
      </c>
    </row>
    <row r="137" customFormat="false" ht="21.75" hidden="false" customHeight="true" outlineLevel="0" collapsed="false">
      <c r="A137" s="18" t="s">
        <v>189</v>
      </c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</row>
    <row r="138" customFormat="false" ht="18" hidden="false" customHeight="true" outlineLevel="0" collapsed="false">
      <c r="A138" s="5" t="s">
        <v>89</v>
      </c>
      <c r="B138" s="5" t="s">
        <v>190</v>
      </c>
      <c r="C138" s="5" t="s">
        <v>191</v>
      </c>
      <c r="D138" s="5" t="s">
        <v>91</v>
      </c>
      <c r="E138" s="5" t="s">
        <v>102</v>
      </c>
    </row>
    <row r="139" customFormat="false" ht="15" hidden="false" customHeight="true" outlineLevel="0" collapsed="false">
      <c r="A139" s="22" t="s">
        <v>192</v>
      </c>
      <c r="B139" s="46" t="s">
        <v>193</v>
      </c>
      <c r="C139" s="6" t="s">
        <v>194</v>
      </c>
      <c r="D139" s="32" t="n">
        <f aca="false">ROUND(12.5789,2)</f>
        <v>12.58</v>
      </c>
      <c r="E139" s="25" t="n">
        <f aca="false">ROUND(12.5789,2)</f>
        <v>12.58</v>
      </c>
    </row>
    <row r="140" customFormat="false" ht="15" hidden="false" customHeight="true" outlineLevel="0" collapsed="false">
      <c r="A140" s="22" t="s">
        <v>195</v>
      </c>
      <c r="B140" s="47" t="s">
        <v>196</v>
      </c>
      <c r="C140" s="12" t="s">
        <v>197</v>
      </c>
      <c r="D140" s="33" t="n">
        <f aca="false">CEILING(12.1,1)</f>
        <v>13</v>
      </c>
      <c r="E140" s="25" t="n">
        <f aca="false">CEILING(12.1,1)</f>
        <v>13</v>
      </c>
    </row>
    <row r="141" customFormat="false" ht="15" hidden="false" customHeight="true" outlineLevel="0" collapsed="false">
      <c r="A141" s="22" t="s">
        <v>198</v>
      </c>
      <c r="B141" s="46" t="s">
        <v>199</v>
      </c>
      <c r="C141" s="6" t="s">
        <v>200</v>
      </c>
      <c r="D141" s="32" t="n">
        <f aca="false">FLOOR(14.9,1)</f>
        <v>14</v>
      </c>
      <c r="E141" s="25" t="n">
        <f aca="false">FLOOR(14.9,1)</f>
        <v>14</v>
      </c>
    </row>
    <row r="142" customFormat="false" ht="15" hidden="false" customHeight="true" outlineLevel="0" collapsed="false">
      <c r="A142" s="22" t="s">
        <v>201</v>
      </c>
      <c r="B142" s="47" t="s">
        <v>202</v>
      </c>
      <c r="C142" s="12" t="s">
        <v>203</v>
      </c>
      <c r="D142" s="33" t="n">
        <f aca="false">ABS(-50)</f>
        <v>50</v>
      </c>
      <c r="E142" s="25" t="n">
        <f aca="false">ABS(-50)</f>
        <v>50</v>
      </c>
    </row>
    <row r="143" customFormat="false" ht="15" hidden="false" customHeight="true" outlineLevel="0" collapsed="false">
      <c r="A143" s="22" t="s">
        <v>204</v>
      </c>
      <c r="B143" s="46" t="s">
        <v>205</v>
      </c>
      <c r="C143" s="6" t="s">
        <v>206</v>
      </c>
      <c r="D143" s="32" t="n">
        <f aca="false">MOD(17,5)</f>
        <v>2</v>
      </c>
      <c r="E143" s="25" t="n">
        <f aca="false">MOD(17,5)</f>
        <v>2</v>
      </c>
    </row>
    <row r="144" customFormat="false" ht="15" hidden="false" customHeight="true" outlineLevel="0" collapsed="false">
      <c r="A144" s="22" t="s">
        <v>207</v>
      </c>
      <c r="B144" s="47" t="s">
        <v>208</v>
      </c>
      <c r="C144" s="12" t="s">
        <v>209</v>
      </c>
      <c r="D144" s="33" t="n">
        <f aca="false">POWER(2,10)</f>
        <v>1024</v>
      </c>
      <c r="E144" s="25" t="n">
        <f aca="false">POWER(2,10)</f>
        <v>1024</v>
      </c>
    </row>
    <row r="146" customFormat="false" ht="21.75" hidden="false" customHeight="true" outlineLevel="0" collapsed="false">
      <c r="A146" s="18" t="s">
        <v>210</v>
      </c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</row>
    <row r="147" customFormat="false" ht="18" hidden="false" customHeight="true" outlineLevel="0" collapsed="false">
      <c r="A147" s="5" t="s">
        <v>3</v>
      </c>
      <c r="B147" s="5" t="s">
        <v>4</v>
      </c>
      <c r="C147" s="5" t="s">
        <v>5</v>
      </c>
      <c r="D147" s="5" t="s">
        <v>6</v>
      </c>
      <c r="E147" s="5" t="s">
        <v>7</v>
      </c>
      <c r="F147" s="5" t="s">
        <v>9</v>
      </c>
      <c r="G147" s="5" t="s">
        <v>211</v>
      </c>
    </row>
    <row r="148" customFormat="false" ht="15" hidden="false" customHeight="true" outlineLevel="0" collapsed="false">
      <c r="A148" s="6" t="n">
        <v>1001</v>
      </c>
      <c r="B148" s="7" t="s">
        <v>19</v>
      </c>
      <c r="C148" s="6" t="n">
        <v>61</v>
      </c>
      <c r="D148" s="6" t="n">
        <v>48</v>
      </c>
      <c r="E148" s="6" t="n">
        <v>76</v>
      </c>
      <c r="F148" s="9" t="n">
        <f aca="false">C148+D148+E148</f>
        <v>185</v>
      </c>
      <c r="G148" s="48" t="str">
        <f aca="false">IF(F148&gt;=230,"✓ Top","—")</f>
        <v>—</v>
      </c>
    </row>
    <row r="149" customFormat="false" ht="15" hidden="false" customHeight="true" outlineLevel="0" collapsed="false">
      <c r="A149" s="12" t="n">
        <v>1002</v>
      </c>
      <c r="B149" s="13" t="s">
        <v>24</v>
      </c>
      <c r="C149" s="12" t="n">
        <v>78</v>
      </c>
      <c r="D149" s="12" t="n">
        <v>76</v>
      </c>
      <c r="E149" s="12" t="n">
        <v>70</v>
      </c>
      <c r="F149" s="15" t="n">
        <f aca="false">C149+D149+E149</f>
        <v>224</v>
      </c>
      <c r="G149" s="48" t="str">
        <f aca="false">IF(F149&gt;=230,"✓ Top","—")</f>
        <v>—</v>
      </c>
    </row>
    <row r="150" customFormat="false" ht="15" hidden="false" customHeight="true" outlineLevel="0" collapsed="false">
      <c r="A150" s="6" t="n">
        <v>1003</v>
      </c>
      <c r="B150" s="7" t="s">
        <v>28</v>
      </c>
      <c r="C150" s="6" t="n">
        <v>97</v>
      </c>
      <c r="D150" s="6" t="n">
        <v>60</v>
      </c>
      <c r="E150" s="6" t="n">
        <v>51</v>
      </c>
      <c r="F150" s="9" t="n">
        <f aca="false">C150+D150+E150</f>
        <v>208</v>
      </c>
      <c r="G150" s="48" t="str">
        <f aca="false">IF(F150&gt;=230,"✓ Top","—")</f>
        <v>—</v>
      </c>
    </row>
    <row r="151" customFormat="false" ht="15" hidden="false" customHeight="true" outlineLevel="0" collapsed="false">
      <c r="A151" s="12" t="n">
        <v>1004</v>
      </c>
      <c r="B151" s="13" t="s">
        <v>33</v>
      </c>
      <c r="C151" s="12" t="n">
        <v>74</v>
      </c>
      <c r="D151" s="12" t="n">
        <v>55</v>
      </c>
      <c r="E151" s="12" t="n">
        <v>46</v>
      </c>
      <c r="F151" s="15" t="n">
        <f aca="false">C151+D151+E151</f>
        <v>175</v>
      </c>
      <c r="G151" s="48" t="str">
        <f aca="false">IF(F151&gt;=230,"✓ Top","—")</f>
        <v>—</v>
      </c>
    </row>
    <row r="152" customFormat="false" ht="15" hidden="false" customHeight="true" outlineLevel="0" collapsed="false">
      <c r="A152" s="6" t="n">
        <v>1005</v>
      </c>
      <c r="B152" s="7" t="s">
        <v>37</v>
      </c>
      <c r="C152" s="6" t="n">
        <v>68</v>
      </c>
      <c r="D152" s="6" t="n">
        <v>74</v>
      </c>
      <c r="E152" s="6" t="n">
        <v>84</v>
      </c>
      <c r="F152" s="9" t="n">
        <f aca="false">C152+D152+E152</f>
        <v>226</v>
      </c>
      <c r="G152" s="48" t="str">
        <f aca="false">IF(F152&gt;=230,"✓ Top","—")</f>
        <v>—</v>
      </c>
    </row>
    <row r="153" customFormat="false" ht="15" hidden="false" customHeight="true" outlineLevel="0" collapsed="false">
      <c r="A153" s="12" t="n">
        <v>1006</v>
      </c>
      <c r="B153" s="13" t="s">
        <v>42</v>
      </c>
      <c r="C153" s="12" t="n">
        <v>80</v>
      </c>
      <c r="D153" s="12" t="n">
        <v>70</v>
      </c>
      <c r="E153" s="12" t="n">
        <v>65</v>
      </c>
      <c r="F153" s="15" t="n">
        <f aca="false">C153+D153+E153</f>
        <v>215</v>
      </c>
      <c r="G153" s="48" t="str">
        <f aca="false">IF(F153&gt;=230,"✓ Top","—")</f>
        <v>—</v>
      </c>
    </row>
    <row r="154" customFormat="false" ht="15" hidden="false" customHeight="true" outlineLevel="0" collapsed="false">
      <c r="A154" s="6" t="n">
        <v>1007</v>
      </c>
      <c r="B154" s="7" t="s">
        <v>44</v>
      </c>
      <c r="C154" s="6" t="n">
        <v>75</v>
      </c>
      <c r="D154" s="6" t="n">
        <v>47</v>
      </c>
      <c r="E154" s="6" t="n">
        <v>78</v>
      </c>
      <c r="F154" s="9" t="n">
        <f aca="false">C154+D154+E154</f>
        <v>200</v>
      </c>
      <c r="G154" s="48" t="str">
        <f aca="false">IF(F154&gt;=230,"✓ Top","—")</f>
        <v>—</v>
      </c>
    </row>
    <row r="155" customFormat="false" ht="15" hidden="false" customHeight="true" outlineLevel="0" collapsed="false">
      <c r="A155" s="12" t="n">
        <v>1008</v>
      </c>
      <c r="B155" s="13" t="s">
        <v>50</v>
      </c>
      <c r="C155" s="12" t="n">
        <v>94</v>
      </c>
      <c r="D155" s="12" t="n">
        <v>67</v>
      </c>
      <c r="E155" s="12" t="n">
        <v>64</v>
      </c>
      <c r="F155" s="15" t="n">
        <f aca="false">C155+D155+E155</f>
        <v>225</v>
      </c>
      <c r="G155" s="48" t="str">
        <f aca="false">IF(F155&gt;=230,"✓ Top","—")</f>
        <v>—</v>
      </c>
    </row>
    <row r="156" customFormat="false" ht="15" hidden="false" customHeight="true" outlineLevel="0" collapsed="false">
      <c r="A156" s="6" t="n">
        <v>1009</v>
      </c>
      <c r="B156" s="7" t="s">
        <v>54</v>
      </c>
      <c r="C156" s="6" t="n">
        <v>41</v>
      </c>
      <c r="D156" s="6" t="n">
        <v>75</v>
      </c>
      <c r="E156" s="6" t="n">
        <v>56</v>
      </c>
      <c r="F156" s="9" t="n">
        <f aca="false">C156+D156+E156</f>
        <v>172</v>
      </c>
      <c r="G156" s="48" t="str">
        <f aca="false">IF(F156&gt;=230,"✓ Top","—")</f>
        <v>—</v>
      </c>
    </row>
    <row r="157" customFormat="false" ht="15" hidden="false" customHeight="true" outlineLevel="0" collapsed="false">
      <c r="A157" s="12" t="n">
        <v>1010</v>
      </c>
      <c r="B157" s="13" t="s">
        <v>57</v>
      </c>
      <c r="C157" s="12" t="n">
        <v>98</v>
      </c>
      <c r="D157" s="12" t="n">
        <v>54</v>
      </c>
      <c r="E157" s="12" t="n">
        <v>58</v>
      </c>
      <c r="F157" s="15" t="n">
        <f aca="false">C157+D157+E157</f>
        <v>210</v>
      </c>
      <c r="G157" s="48" t="str">
        <f aca="false">IF(F157&gt;=230,"✓ Top","—")</f>
        <v>—</v>
      </c>
    </row>
    <row r="158" customFormat="false" ht="15" hidden="false" customHeight="true" outlineLevel="0" collapsed="false">
      <c r="A158" s="6" t="n">
        <v>1011</v>
      </c>
      <c r="B158" s="7" t="s">
        <v>60</v>
      </c>
      <c r="C158" s="6" t="n">
        <v>73</v>
      </c>
      <c r="D158" s="6" t="n">
        <v>79</v>
      </c>
      <c r="E158" s="6" t="n">
        <v>53</v>
      </c>
      <c r="F158" s="9" t="n">
        <f aca="false">C158+D158+E158</f>
        <v>205</v>
      </c>
      <c r="G158" s="48" t="str">
        <f aca="false">IF(F158&gt;=230,"✓ Top","—")</f>
        <v>—</v>
      </c>
    </row>
    <row r="159" customFormat="false" ht="15" hidden="false" customHeight="true" outlineLevel="0" collapsed="false">
      <c r="A159" s="12" t="n">
        <v>1012</v>
      </c>
      <c r="B159" s="13" t="s">
        <v>63</v>
      </c>
      <c r="C159" s="12" t="n">
        <v>85</v>
      </c>
      <c r="D159" s="12" t="n">
        <v>89</v>
      </c>
      <c r="E159" s="12" t="n">
        <v>79</v>
      </c>
      <c r="F159" s="15" t="n">
        <f aca="false">C159+D159+E159</f>
        <v>253</v>
      </c>
      <c r="G159" s="49" t="str">
        <f aca="false">IF(F159&gt;=230,"✓ Top","—")</f>
        <v>✓ Top</v>
      </c>
    </row>
    <row r="160" customFormat="false" ht="15" hidden="false" customHeight="true" outlineLevel="0" collapsed="false">
      <c r="A160" s="6" t="n">
        <v>1013</v>
      </c>
      <c r="B160" s="7" t="s">
        <v>65</v>
      </c>
      <c r="C160" s="6" t="n">
        <v>98</v>
      </c>
      <c r="D160" s="6" t="n">
        <v>90</v>
      </c>
      <c r="E160" s="6" t="n">
        <v>97</v>
      </c>
      <c r="F160" s="9" t="n">
        <f aca="false">C160+D160+E160</f>
        <v>285</v>
      </c>
      <c r="G160" s="49" t="str">
        <f aca="false">IF(F160&gt;=230,"✓ Top","—")</f>
        <v>✓ Top</v>
      </c>
    </row>
    <row r="161" customFormat="false" ht="15" hidden="false" customHeight="true" outlineLevel="0" collapsed="false">
      <c r="A161" s="12" t="n">
        <v>1014</v>
      </c>
      <c r="B161" s="13" t="s">
        <v>67</v>
      </c>
      <c r="C161" s="12" t="n">
        <v>93</v>
      </c>
      <c r="D161" s="12" t="n">
        <v>40</v>
      </c>
      <c r="E161" s="12" t="n">
        <v>44</v>
      </c>
      <c r="F161" s="15" t="n">
        <f aca="false">C161+D161+E161</f>
        <v>177</v>
      </c>
      <c r="G161" s="48" t="str">
        <f aca="false">IF(F161&gt;=230,"✓ Top","—")</f>
        <v>—</v>
      </c>
    </row>
    <row r="162" customFormat="false" ht="15" hidden="false" customHeight="true" outlineLevel="0" collapsed="false">
      <c r="A162" s="6" t="n">
        <v>1015</v>
      </c>
      <c r="B162" s="7" t="s">
        <v>69</v>
      </c>
      <c r="C162" s="6" t="n">
        <v>70</v>
      </c>
      <c r="D162" s="6" t="n">
        <v>51</v>
      </c>
      <c r="E162" s="6" t="n">
        <v>75</v>
      </c>
      <c r="F162" s="9" t="n">
        <f aca="false">C162+D162+E162</f>
        <v>196</v>
      </c>
      <c r="G162" s="48" t="str">
        <f aca="false">IF(F162&gt;=230,"✓ Top","—")</f>
        <v>—</v>
      </c>
    </row>
    <row r="163" customFormat="false" ht="15" hidden="false" customHeight="true" outlineLevel="0" collapsed="false">
      <c r="A163" s="12" t="n">
        <v>1016</v>
      </c>
      <c r="B163" s="13" t="s">
        <v>71</v>
      </c>
      <c r="C163" s="12" t="n">
        <v>98</v>
      </c>
      <c r="D163" s="12" t="n">
        <v>77</v>
      </c>
      <c r="E163" s="12" t="n">
        <v>60</v>
      </c>
      <c r="F163" s="15" t="n">
        <f aca="false">C163+D163+E163</f>
        <v>235</v>
      </c>
      <c r="G163" s="49" t="str">
        <f aca="false">IF(F163&gt;=230,"✓ Top","—")</f>
        <v>✓ Top</v>
      </c>
    </row>
    <row r="164" customFormat="false" ht="15" hidden="false" customHeight="true" outlineLevel="0" collapsed="false">
      <c r="A164" s="6" t="n">
        <v>1017</v>
      </c>
      <c r="B164" s="7" t="s">
        <v>73</v>
      </c>
      <c r="C164" s="6" t="n">
        <v>66</v>
      </c>
      <c r="D164" s="6" t="n">
        <v>59</v>
      </c>
      <c r="E164" s="6" t="n">
        <v>40</v>
      </c>
      <c r="F164" s="9" t="n">
        <f aca="false">C164+D164+E164</f>
        <v>165</v>
      </c>
      <c r="G164" s="48" t="str">
        <f aca="false">IF(F164&gt;=230,"✓ Top","—")</f>
        <v>—</v>
      </c>
    </row>
    <row r="165" customFormat="false" ht="15" hidden="false" customHeight="true" outlineLevel="0" collapsed="false">
      <c r="A165" s="12" t="n">
        <v>1018</v>
      </c>
      <c r="B165" s="13" t="s">
        <v>75</v>
      </c>
      <c r="C165" s="12" t="n">
        <v>82</v>
      </c>
      <c r="D165" s="12" t="n">
        <v>48</v>
      </c>
      <c r="E165" s="12" t="n">
        <v>79</v>
      </c>
      <c r="F165" s="15" t="n">
        <f aca="false">C165+D165+E165</f>
        <v>209</v>
      </c>
      <c r="G165" s="48" t="str">
        <f aca="false">IF(F165&gt;=230,"✓ Top","—")</f>
        <v>—</v>
      </c>
    </row>
    <row r="166" customFormat="false" ht="15" hidden="false" customHeight="true" outlineLevel="0" collapsed="false">
      <c r="A166" s="6" t="n">
        <v>1019</v>
      </c>
      <c r="B166" s="7" t="s">
        <v>77</v>
      </c>
      <c r="C166" s="6" t="n">
        <v>90</v>
      </c>
      <c r="D166" s="6" t="n">
        <v>78</v>
      </c>
      <c r="E166" s="6" t="n">
        <v>60</v>
      </c>
      <c r="F166" s="9" t="n">
        <f aca="false">C166+D166+E166</f>
        <v>228</v>
      </c>
      <c r="G166" s="48" t="str">
        <f aca="false">IF(F166&gt;=230,"✓ Top","—")</f>
        <v>—</v>
      </c>
    </row>
    <row r="167" customFormat="false" ht="15" hidden="false" customHeight="true" outlineLevel="0" collapsed="false">
      <c r="A167" s="12" t="n">
        <v>1020</v>
      </c>
      <c r="B167" s="13" t="s">
        <v>79</v>
      </c>
      <c r="C167" s="12" t="n">
        <v>83</v>
      </c>
      <c r="D167" s="12" t="n">
        <v>92</v>
      </c>
      <c r="E167" s="12" t="n">
        <v>55</v>
      </c>
      <c r="F167" s="15" t="n">
        <f aca="false">C167+D167+E167</f>
        <v>230</v>
      </c>
      <c r="G167" s="49" t="str">
        <f aca="false">IF(F167&gt;=230,"✓ Top","—")</f>
        <v>✓ Top</v>
      </c>
    </row>
    <row r="168" customFormat="false" ht="19.5" hidden="false" customHeight="true" outlineLevel="0" collapsed="false">
      <c r="A168" s="50" t="s">
        <v>212</v>
      </c>
      <c r="B168" s="50"/>
      <c r="C168" s="50"/>
      <c r="D168" s="50"/>
      <c r="E168" s="50"/>
      <c r="F168" s="50"/>
      <c r="G168" s="50"/>
    </row>
    <row r="169" customFormat="false" ht="18" hidden="false" customHeight="true" outlineLevel="0" collapsed="false">
      <c r="A169" s="5" t="s">
        <v>3</v>
      </c>
      <c r="B169" s="5" t="s">
        <v>4</v>
      </c>
      <c r="C169" s="5" t="s">
        <v>5</v>
      </c>
      <c r="D169" s="5" t="s">
        <v>6</v>
      </c>
      <c r="E169" s="5" t="s">
        <v>7</v>
      </c>
      <c r="F169" s="5" t="s">
        <v>9</v>
      </c>
    </row>
    <row r="170" customFormat="false" ht="15" hidden="false" customHeight="true" outlineLevel="0" collapsed="false">
      <c r="A170" s="51" t="n">
        <v>1012</v>
      </c>
      <c r="B170" s="52" t="s">
        <v>63</v>
      </c>
      <c r="C170" s="51" t="n">
        <v>85</v>
      </c>
      <c r="D170" s="51" t="n">
        <v>89</v>
      </c>
      <c r="E170" s="51" t="n">
        <v>79</v>
      </c>
      <c r="F170" s="25" t="n">
        <v>253</v>
      </c>
    </row>
    <row r="171" customFormat="false" ht="15" hidden="false" customHeight="true" outlineLevel="0" collapsed="false">
      <c r="A171" s="51" t="n">
        <v>1013</v>
      </c>
      <c r="B171" s="52" t="s">
        <v>65</v>
      </c>
      <c r="C171" s="51" t="n">
        <v>98</v>
      </c>
      <c r="D171" s="51" t="n">
        <v>90</v>
      </c>
      <c r="E171" s="51" t="n">
        <v>97</v>
      </c>
      <c r="F171" s="25" t="n">
        <v>285</v>
      </c>
    </row>
    <row r="172" customFormat="false" ht="15" hidden="false" customHeight="true" outlineLevel="0" collapsed="false">
      <c r="A172" s="51" t="n">
        <v>1016</v>
      </c>
      <c r="B172" s="52" t="s">
        <v>71</v>
      </c>
      <c r="C172" s="51" t="n">
        <v>98</v>
      </c>
      <c r="D172" s="51" t="n">
        <v>77</v>
      </c>
      <c r="E172" s="51" t="n">
        <v>60</v>
      </c>
      <c r="F172" s="25" t="n">
        <v>235</v>
      </c>
    </row>
    <row r="173" customFormat="false" ht="15" hidden="false" customHeight="true" outlineLevel="0" collapsed="false">
      <c r="A173" s="51" t="n">
        <v>1020</v>
      </c>
      <c r="B173" s="52" t="s">
        <v>79</v>
      </c>
      <c r="C173" s="51" t="n">
        <v>83</v>
      </c>
      <c r="D173" s="51" t="n">
        <v>92</v>
      </c>
      <c r="E173" s="51" t="n">
        <v>55</v>
      </c>
      <c r="F173" s="25" t="n">
        <v>230</v>
      </c>
    </row>
  </sheetData>
  <mergeCells count="20">
    <mergeCell ref="A1:N1"/>
    <mergeCell ref="A2:N2"/>
    <mergeCell ref="A4:N4"/>
    <mergeCell ref="A27:N27"/>
    <mergeCell ref="A50:N50"/>
    <mergeCell ref="A73:N73"/>
    <mergeCell ref="A79:N79"/>
    <mergeCell ref="A84:N84"/>
    <mergeCell ref="A90:N90"/>
    <mergeCell ref="A98:N98"/>
    <mergeCell ref="A102:E102"/>
    <mergeCell ref="A104:N104"/>
    <mergeCell ref="A112:N112"/>
    <mergeCell ref="A117:D117"/>
    <mergeCell ref="A119:N119"/>
    <mergeCell ref="A126:D126"/>
    <mergeCell ref="A128:N128"/>
    <mergeCell ref="A137:N137"/>
    <mergeCell ref="A146:N146"/>
    <mergeCell ref="A168:G1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2026-03-23T12:03:45Z</dcterms:created>
  <dc:creator>openpyxl</dc:creator>
  <dc:description/>
  <dc:language>en-US</dc:language>
  <cp:lastModifiedBy/>
  <dcterms:modified xsi:type="dcterms:W3CDTF">2026-03-23T12:04:01Z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