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OneDrive\Desktop\"/>
    </mc:Choice>
  </mc:AlternateContent>
  <xr:revisionPtr revIDLastSave="0" documentId="13_ncr:1_{E4AEA811-B26A-4F0C-8911-1EC6CCD8CD0A}" xr6:coauthVersionLast="47" xr6:coauthVersionMax="47" xr10:uidLastSave="{00000000-0000-0000-0000-000000000000}"/>
  <bookViews>
    <workbookView xWindow="-108" yWindow="-108" windowWidth="23256" windowHeight="12456" xr2:uid="{912CFA5D-5E24-43FB-ACDF-01ED503C3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3" i="1" l="1"/>
  <c r="S34" i="1"/>
  <c r="S35" i="1"/>
  <c r="S36" i="1"/>
  <c r="S37" i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V18" i="1"/>
  <c r="W18" i="1" s="1"/>
  <c r="V17" i="1"/>
  <c r="W17" i="1" s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V8" i="1"/>
  <c r="W8" i="1" s="1"/>
  <c r="V7" i="1"/>
  <c r="W7" i="1" s="1"/>
  <c r="B54" i="1" a="1"/>
  <c r="B54" i="1" s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D53" i="1"/>
  <c r="B50" i="1"/>
  <c r="B52" i="1"/>
  <c r="B51" i="1"/>
  <c r="B48" i="1"/>
  <c r="B47" i="1"/>
  <c r="B41" i="1" a="1"/>
  <c r="B39" i="1" a="1"/>
  <c r="B39" i="1" s="1"/>
  <c r="B36" i="1"/>
  <c r="B33" i="1" a="1"/>
  <c r="B33" i="1" s="1"/>
  <c r="B32" i="1" a="1"/>
  <c r="B32" i="1" s="1"/>
  <c r="B25" i="1"/>
  <c r="B24" i="1" a="1"/>
  <c r="B24" i="1" s="1"/>
  <c r="C29" i="1"/>
  <c r="B29" i="1"/>
  <c r="C28" i="1"/>
  <c r="B28" i="1"/>
  <c r="B21" i="1"/>
  <c r="B20" i="1"/>
  <c r="B4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<sst xmlns="http://schemas.openxmlformats.org/spreadsheetml/2006/main" count="216" uniqueCount="127">
  <si>
    <t>Essential Tasks</t>
  </si>
  <si>
    <t>Relative &amp; Absolute Cell References, Formatting, and Data Input</t>
  </si>
  <si>
    <t>Enter and format data (bold, italic, currency, date, custom formats).</t>
  </si>
  <si>
    <t>Use absolute ($A$1) and relative (A1) references in formulas.</t>
  </si>
  <si>
    <t>Using IF Formula &amp; Nesting IF Formulas</t>
  </si>
  <si>
    <t>Classify students' grades based on their scores.</t>
  </si>
  <si>
    <t>Compute discounts for sales based on price thresholds.</t>
  </si>
  <si>
    <t>Using IF with AND/OR Formulas</t>
  </si>
  <si>
    <t>Identify students who scored above 80 in both Math &amp; Science using IF(AND(...)).</t>
  </si>
  <si>
    <t>Determine whether a product is eligible for discount using IF(OR(...)).</t>
  </si>
  <si>
    <t>COUNTIFS, SUMIFS, AVERAGEIFS</t>
  </si>
  <si>
    <t>Count the number of students who scored above 50 in Math.</t>
  </si>
  <si>
    <t>Sum total sales for a specific region and product.</t>
  </si>
  <si>
    <t>Calculate the average score for students who scored above 60.</t>
  </si>
  <si>
    <t>VLOOKUP Function</t>
  </si>
  <si>
    <t>Fetch student names based on ID from a separate dataset.</t>
  </si>
  <si>
    <t>Retrieve product prices based on product codes.</t>
  </si>
  <si>
    <t>INDEX and MATCH Functions</t>
  </si>
  <si>
    <t>Find sales values for a specific salesperson in a specific month.</t>
  </si>
  <si>
    <t>Look up employee details dynamically without column restrictions.</t>
  </si>
  <si>
    <t>Excel TEXT Functions</t>
  </si>
  <si>
    <t>Extract the first name from full names using LEFT and FIND.</t>
  </si>
  <si>
    <t>Convert names to uppercase/lowercase using UPPER(), LOWER().</t>
  </si>
  <si>
    <t>XLOOKUP Function</t>
  </si>
  <si>
    <t>Search for salesperson performance based on flexible search criteria.</t>
  </si>
  <si>
    <t>Find employee salaries without worrying about sorted data.</t>
  </si>
  <si>
    <t>XMATCH Function</t>
  </si>
  <si>
    <t>Find the position of a product in a sales list.</t>
  </si>
  <si>
    <t>INDIRECT Function</t>
  </si>
  <si>
    <t>Dynamically reference a cell range using INDIRECT.</t>
  </si>
  <si>
    <t>OFFSET Function</t>
  </si>
  <si>
    <t>Create dynamic ranges for sales trends.</t>
  </si>
  <si>
    <t>Date and Time Functions</t>
  </si>
  <si>
    <t>Calculate age from date of birth.</t>
  </si>
  <si>
    <t>Find the difference in days between two dates.</t>
  </si>
  <si>
    <t>Math Functions</t>
  </si>
  <si>
    <t>Use ROUND(), CEILING(), and FLOOR() for financial calculations.</t>
  </si>
  <si>
    <t>Return Multiple Values using FILTER Function</t>
  </si>
  <si>
    <t>Extract a list of top-performing students based on scores.</t>
  </si>
  <si>
    <t>Topic :- VLOOKUP</t>
  </si>
  <si>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</si>
  <si>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</si>
  <si>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</si>
  <si>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</si>
  <si>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</si>
  <si>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</si>
  <si>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</si>
  <si>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</si>
  <si>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</si>
  <si>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</si>
  <si>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</si>
  <si>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</si>
  <si>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</si>
  <si>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</si>
  <si>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</si>
  <si>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</si>
  <si>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</si>
  <si>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</si>
  <si>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</si>
  <si>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</si>
  <si>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</si>
  <si>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</si>
  <si>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</si>
  <si>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</si>
  <si>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</si>
  <si>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</si>
  <si>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ProductID</t>
  </si>
  <si>
    <t>ProductCode</t>
  </si>
  <si>
    <t>Product Name</t>
  </si>
  <si>
    <t>Product Price</t>
  </si>
  <si>
    <t>Wireless Mouse</t>
  </si>
  <si>
    <t>P002</t>
  </si>
  <si>
    <t>Mechanical Keyboard</t>
  </si>
  <si>
    <t>P003</t>
  </si>
  <si>
    <t>USB-C Charger</t>
  </si>
  <si>
    <t>P004</t>
  </si>
  <si>
    <t>Laptop Stand</t>
  </si>
  <si>
    <t>P005</t>
  </si>
  <si>
    <t>Bluetooth Speaker</t>
  </si>
  <si>
    <t>a1</t>
  </si>
  <si>
    <t>Topic :- Index &amp; match</t>
  </si>
  <si>
    <t>Salesperson</t>
  </si>
  <si>
    <t>Month</t>
  </si>
  <si>
    <t>Sales</t>
  </si>
  <si>
    <t>Rahul</t>
  </si>
  <si>
    <t>January</t>
  </si>
  <si>
    <t>Priya</t>
  </si>
  <si>
    <t>Amit</t>
  </si>
  <si>
    <t>February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</si>
  <si>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</si>
  <si>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</si>
  <si>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</si>
  <si>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</si>
  <si>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</si>
  <si>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</si>
  <si>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</si>
  <si>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</si>
  <si>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</si>
  <si>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</si>
  <si>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</si>
  <si>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</si>
  <si>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</si>
  <si>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</si>
  <si>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</si>
  <si>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</si>
  <si>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</si>
  <si>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</si>
  <si>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</si>
  <si>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</si>
  <si>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</si>
  <si>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</si>
  <si>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</si>
  <si>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</si>
  <si>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</si>
  <si>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</si>
  <si>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</si>
  <si>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</si>
  <si>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NAME</t>
  </si>
  <si>
    <t>PRIYANSH VEKARIYA</t>
  </si>
  <si>
    <t>ANSH PATOLIYA</t>
  </si>
  <si>
    <t>I40</t>
  </si>
  <si>
    <t>Total</t>
  </si>
  <si>
    <t>Q. Classify students' grades based on their scores.</t>
  </si>
  <si>
    <t>Percentage</t>
  </si>
  <si>
    <t>Grade</t>
  </si>
  <si>
    <t>Disscount</t>
  </si>
  <si>
    <t>Q. Compute discounts for sales based on price thresholds.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</si>
</sst>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8"/>
      <color rgb="FFF4F4F4"/>
      <name val="Courier New"/>
      <family val="3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8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D9E1F2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0" xfId="0" applyNumberFormat="1"/>
    <xf numFmtId="164" fontId="1" fillId="2" borderId="3" xfId="0" applyNumberFormat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14" fontId="0" fillId="0" borderId="0" xfId="0" applyNumberFormat="1"/>
    <xf numFmtId="14" fontId="4" fillId="3" borderId="5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4" fontId="1" fillId="2" borderId="11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1" fillId="2" borderId="16" xfId="0" applyFont="1" applyFill="1" applyBorder="1" applyAlignment="1">
      <alignment horizontal="center" vertical="center" wrapText="1"/>
    </xf>
    <xf numFmtId="0" fontId="7" fillId="0" borderId="0" xfId="0" applyFont="1"/>
    <xf numFmtId="14" fontId="1" fillId="2" borderId="17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0" fillId="0" borderId="18" xfId="0" applyBorder="1"/>
  </cellXfs>
  <cellStyles count="1">
    <cellStyle name="Normal" xfId="0" builtinId="0"/>
  </cellStyles>
  <dxfs count="5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border outline="0">
        <left style="medium">
          <color rgb="FF000000"/>
        </left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2637B7-BA08-41FE-A972-EEDD53B0E82F}" name="Table4" displayName="Table4" ref="J4:M9" totalsRowShown="0" headerRowDxfId="50" dataDxfId="48" headerRowBorderDxfId="49">
  <autoFilter ref="J4:M9" xr:uid="{792637B7-BA08-41FE-A972-EEDD53B0E82F}"/>
  <tableColumns count="4">
    <tableColumn id="1" xr3:uid="{98B1BDA4-D7FD-4477-9876-B5B56A154172}" name="ProductID" dataDxfId="47"/>
    <tableColumn id="2" xr3:uid="{39636495-B80E-4A40-BC9E-C6B7FF92630F}" name="ProductCode" dataDxfId="46"/>
    <tableColumn id="3" xr3:uid="{1D2CDC7F-FBE5-493B-BFEB-2A0ABF08C4EA}" name="Product Name" dataDxfId="45"/>
    <tableColumn id="4" xr3:uid="{E9D757BE-20CF-42B9-A24A-4C69326946BD}" name="Product Price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AE6A8E-9278-4238-9936-7FB3794D86AB}" name="Table5" displayName="Table5" ref="F29:H34" totalsRowShown="0" headerRowDxfId="43" headerRowBorderDxfId="42">
  <autoFilter ref="F29:H34" xr:uid="{1BAE6A8E-9278-4238-9936-7FB3794D86AB}"/>
  <tableColumns count="3">
    <tableColumn id="1" xr3:uid="{4AE57CE4-9728-44DA-9B3F-1AB3AC1F2B1F}" name="Salesperson" dataDxfId="41"/>
    <tableColumn id="2" xr3:uid="{074BB278-5DF6-4E19-80FF-9D5162B004FC}" name="Month" dataDxfId="40"/>
    <tableColumn id="3" xr3:uid="{1FD435EB-9B3D-4F52-838A-0E036FEFC75F}" name="Sales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1B529D-528C-4726-8AE9-0A269D15564A}" name="Table6" displayName="Table6" ref="I29:M51" totalsRowShown="0" headerRowDxfId="38" dataDxfId="36" headerRowBorderDxfId="37" tableBorderDxfId="35" totalsRowBorderDxfId="34">
  <autoFilter ref="I29:M51" xr:uid="{051B529D-528C-4726-8AE9-0A269D15564A}"/>
  <tableColumns count="5">
    <tableColumn id="1" xr3:uid="{6A43F9DF-1DE9-438E-9B36-4238B948AE6E}" name="Employee ID" dataDxfId="33"/>
    <tableColumn id="2" xr3:uid="{54BAF62C-1A62-49B7-93BC-13A1D98EC7AE}" name="Name" dataDxfId="32"/>
    <tableColumn id="3" xr3:uid="{21CAFB13-B912-4DD5-B273-59CBF82EAEF0}" name="Department" dataDxfId="31"/>
    <tableColumn id="4" xr3:uid="{0B871645-CD6B-4033-A885-07955309C24C}" name="Salary" dataDxfId="30"/>
    <tableColumn id="5" xr3:uid="{C4B49609-9B29-4DF7-A615-0A9056F846C7}" name="Joining Date" dataDxfId="29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6E54D2-A344-4586-BD4F-16A536D24FEC}" name="Table7" displayName="Table7" ref="D29:D31" totalsRowShown="0">
  <autoFilter ref="D29:D31" xr:uid="{E66E54D2-A344-4586-BD4F-16A536D24FEC}"/>
  <tableColumns count="1">
    <tableColumn id="1" xr3:uid="{857DF88B-D4E2-4735-99F1-C9FE5FAE1DD8}" name="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E58173-B98E-48E2-806B-CC51A1341AA5}" name="Table8" displayName="Table8" ref="D60:I80" totalsRowShown="0" headerRowDxfId="28" dataDxfId="27" tableBorderDxfId="26">
  <autoFilter ref="D60:I80" xr:uid="{C6E58173-B98E-48E2-806B-CC51A1341AA5}"/>
  <tableColumns count="6">
    <tableColumn id="1" xr3:uid="{8D5304B3-632B-4017-AF09-830781FE8C5C}" name="Student ID" dataDxfId="25"/>
    <tableColumn id="2" xr3:uid="{722665A2-E66A-4AFB-ADE1-3F246DB82181}" name="Name" dataDxfId="24"/>
    <tableColumn id="3" xr3:uid="{2A867ED9-4217-4690-93A7-6070B30C77D5}" name="Math" dataDxfId="23"/>
    <tableColumn id="4" xr3:uid="{B20C9B03-0ED1-4FED-AAE0-CBF84D2D138A}" name="Science" dataDxfId="22"/>
    <tableColumn id="5" xr3:uid="{52391376-971C-4634-8E86-56203790C200}" name="English" dataDxfId="21"/>
    <tableColumn id="6" xr3:uid="{9C5A4A90-CDB9-4716-A16C-DFE684EBDB46}" name="Total">
      <calculatedColumnFormula>SUM(F61:H61)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AE33E-83AF-4C62-B7C3-398BE9899CA7}" name="Table2" displayName="Table2" ref="P6:W26" tableBorderDxfId="20">
  <autoFilter ref="P6:W26" xr:uid="{681AE33E-83AF-4C62-B7C3-398BE9899CA7}"/>
  <tableColumns count="8">
    <tableColumn id="1" xr3:uid="{7E281F9E-B861-4A79-BFBE-C2436CCB0054}" name="Student ID" totalsRowLabel="Total" dataDxfId="18" totalsRowDxfId="19"/>
    <tableColumn id="2" xr3:uid="{EAA7ABFC-6CCC-4CE3-ACEB-8B671DCDE381}" name="Name" dataDxfId="16" totalsRowDxfId="17"/>
    <tableColumn id="3" xr3:uid="{3D724821-539E-48BC-8AB0-1F22A60EB9DC}" name="Math" dataDxfId="14" totalsRowDxfId="15"/>
    <tableColumn id="4" xr3:uid="{1F76A552-0448-4FCF-AB7C-FFAE3DF216E4}" name="Science" dataDxfId="12" totalsRowDxfId="13"/>
    <tableColumn id="5" xr3:uid="{CA606356-1563-4B82-B8D0-C9D93ADC88C2}" name="English" dataDxfId="10" totalsRowDxfId="11"/>
    <tableColumn id="6" xr3:uid="{60B1C3B9-1F4F-4780-AEBF-880A14FB5FB3}" name="Enrollment Date" dataDxfId="8" totalsRowDxfId="9"/>
    <tableColumn id="7" xr3:uid="{9279381A-BB67-4CD5-8393-49A5E459B5FD}" name="Percentage" dataDxfId="7">
      <calculatedColumnFormula>((R7+S7+T7)/3)</calculatedColumnFormula>
    </tableColumn>
    <tableColumn id="8" xr3:uid="{1C719DCC-A8DD-4E56-8AB1-188B3226CA99}" name="Grade" totalsRowFunction="count" dataDxfId="6">
      <calculatedColumnFormula>IF(V7&gt;90,"A",IF(70&lt;V7,"B","C"))</calculatedColumnFormula>
    </tableColumn>
  </tableColumns>
  <tableStyleInfo name="TableStyleLight2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A99DF9-4363-4157-96D7-332FD6C134C8}" name="Table53" displayName="Table53" ref="P32:S37" totalsRowShown="0" headerRowDxfId="5" headerRowBorderDxfId="4">
  <autoFilter ref="P32:S37" xr:uid="{47A99DF9-4363-4157-96D7-332FD6C134C8}"/>
  <tableColumns count="4">
    <tableColumn id="1" xr3:uid="{ED9A7CE1-25AA-47F5-A423-D880EF6283D7}" name="Salesperson" dataDxfId="3"/>
    <tableColumn id="2" xr3:uid="{83085EAB-616C-4558-B184-B35AD58D76A3}" name="Month" dataDxfId="2"/>
    <tableColumn id="3" xr3:uid="{619A735E-DFF9-4C74-83D9-04CA8CE99621}" name="Sales" dataDxfId="1"/>
    <tableColumn id="4" xr3:uid="{1CBC86D8-9481-43E7-8827-D1722F8D25B0}" name="Disscount" dataDxfId="0">
      <calculatedColumnFormula>IF(Table53[[#This Row],[Sales]]&gt;20000,"Yes","No")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2F47-FEB0-447A-A011-E8119680DFA5}">
  <dimension ref="A1:W80"/>
  <sheetViews>
    <sheetView tabSelected="1" zoomScale="50" zoomScaleNormal="115" workbookViewId="0">
      <selection activeCell="L26" sqref="L26"/>
    </sheetView>
  </sheetViews>
  <sheetFormatPr defaultRowHeight="14.4" x14ac:dyDescent="0.3"/>
  <cols>
    <col min="1" max="1" width="53" customWidth="1"/>
    <col min="2" max="2" width="14" customWidth="1"/>
    <col min="3" max="3" width="13" customWidth="1"/>
    <col min="4" max="4" width="17.5546875" customWidth="1"/>
    <col min="8" max="8" width="16.88671875" style="8" bestFit="1" customWidth="1"/>
    <col min="9" max="9" width="13.109375" customWidth="1"/>
    <col min="10" max="10" width="10.88671875" customWidth="1"/>
    <col min="11" max="11" width="13.5546875" customWidth="1"/>
    <col min="12" max="12" width="14.44140625" customWidth="1"/>
    <col min="13" max="13" width="13.6640625" style="14" customWidth="1"/>
    <col min="16" max="16" width="17.21875" customWidth="1"/>
    <col min="21" max="21" width="16.5546875" customWidth="1"/>
  </cols>
  <sheetData>
    <row r="1" spans="1:23" ht="15" thickBot="1" x14ac:dyDescent="0.35">
      <c r="A1" s="1" t="s">
        <v>0</v>
      </c>
    </row>
    <row r="2" spans="1:23" ht="29.4" thickBot="1" x14ac:dyDescent="0.35">
      <c r="A2" s="3" t="s">
        <v>1</v>
      </c>
      <c r="I2" s="4" t="s">
        <v>39</v>
      </c>
    </row>
    <row r="3" spans="1:23" ht="29.4" thickBot="1" x14ac:dyDescent="0.35">
      <c r="A3" s="2" t="s">
        <v>2</v>
      </c>
    </row>
    <row r="4" spans="1:23" ht="29.4" thickBot="1" x14ac:dyDescent="0.45">
      <c r="A4" s="2" t="s">
        <v>3</v>
      </c>
      <c r="D4" s="1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9" t="s">
        <v>45</v>
      </c>
      <c r="J4" s="11" t="s">
        <v>66</v>
      </c>
      <c r="K4" s="11" t="s">
        <v>67</v>
      </c>
      <c r="L4" s="11" t="s">
        <v>68</v>
      </c>
      <c r="M4" s="15" t="s">
        <v>69</v>
      </c>
      <c r="P4" s="30" t="s">
        <v>122</v>
      </c>
    </row>
    <row r="5" spans="1:23" ht="15" thickBot="1" x14ac:dyDescent="0.35">
      <c r="A5" s="2"/>
      <c r="D5" s="6">
        <v>1001</v>
      </c>
      <c r="E5" s="7" t="s">
        <v>46</v>
      </c>
      <c r="F5" s="7">
        <v>61</v>
      </c>
      <c r="G5" s="7">
        <v>48</v>
      </c>
      <c r="H5" s="7">
        <v>76</v>
      </c>
      <c r="I5" s="10">
        <v>43101</v>
      </c>
      <c r="J5" s="12">
        <v>1</v>
      </c>
      <c r="K5" s="12" t="s">
        <v>79</v>
      </c>
      <c r="L5" s="12" t="s">
        <v>70</v>
      </c>
      <c r="M5" s="16">
        <v>599</v>
      </c>
    </row>
    <row r="6" spans="1:23" ht="29.4" thickBot="1" x14ac:dyDescent="0.35">
      <c r="A6" s="3" t="s">
        <v>4</v>
      </c>
      <c r="D6" s="6">
        <v>1002</v>
      </c>
      <c r="E6" s="7" t="s">
        <v>47</v>
      </c>
      <c r="F6" s="7">
        <v>78</v>
      </c>
      <c r="G6" s="7">
        <v>76</v>
      </c>
      <c r="H6" s="7">
        <v>70</v>
      </c>
      <c r="I6" s="10">
        <v>43281</v>
      </c>
      <c r="J6" s="12">
        <v>2</v>
      </c>
      <c r="K6" s="12" t="s">
        <v>71</v>
      </c>
      <c r="L6" s="12" t="s">
        <v>72</v>
      </c>
      <c r="M6" s="16">
        <v>2499</v>
      </c>
      <c r="P6" s="17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31" t="s">
        <v>45</v>
      </c>
      <c r="V6" s="32" t="s">
        <v>123</v>
      </c>
      <c r="W6" s="32" t="s">
        <v>124</v>
      </c>
    </row>
    <row r="7" spans="1:23" ht="15" thickBot="1" x14ac:dyDescent="0.35">
      <c r="A7" s="2" t="s">
        <v>5</v>
      </c>
      <c r="D7" s="6">
        <v>1003</v>
      </c>
      <c r="E7" s="7" t="s">
        <v>48</v>
      </c>
      <c r="F7" s="7">
        <v>97</v>
      </c>
      <c r="G7" s="7">
        <v>60</v>
      </c>
      <c r="H7" s="7">
        <v>51</v>
      </c>
      <c r="I7" s="10">
        <v>43461</v>
      </c>
      <c r="J7" s="12">
        <v>3</v>
      </c>
      <c r="K7" s="12" t="s">
        <v>73</v>
      </c>
      <c r="L7" s="12" t="s">
        <v>74</v>
      </c>
      <c r="M7" s="16">
        <v>899</v>
      </c>
      <c r="P7" s="18">
        <v>1001</v>
      </c>
      <c r="Q7" s="7" t="s">
        <v>46</v>
      </c>
      <c r="R7" s="7">
        <v>61</v>
      </c>
      <c r="S7" s="7">
        <v>48</v>
      </c>
      <c r="T7" s="7">
        <v>76</v>
      </c>
      <c r="U7" s="19">
        <v>43101</v>
      </c>
      <c r="V7" s="33">
        <f>((R7+S7+T7)/3)</f>
        <v>61.666666666666664</v>
      </c>
      <c r="W7" s="33" t="str">
        <f>IF(V7&gt;90,"A",IF(70&lt;V7,"B","C"))</f>
        <v>C</v>
      </c>
    </row>
    <row r="8" spans="1:23" ht="15" thickBot="1" x14ac:dyDescent="0.35">
      <c r="A8" s="2" t="s">
        <v>6</v>
      </c>
      <c r="D8" s="6">
        <v>1004</v>
      </c>
      <c r="E8" s="7" t="s">
        <v>49</v>
      </c>
      <c r="F8" s="7">
        <v>74</v>
      </c>
      <c r="G8" s="7">
        <v>55</v>
      </c>
      <c r="H8" s="7">
        <v>46</v>
      </c>
      <c r="I8" s="10">
        <v>43641</v>
      </c>
      <c r="J8" s="12">
        <v>4</v>
      </c>
      <c r="K8" s="12" t="s">
        <v>75</v>
      </c>
      <c r="L8" s="12" t="s">
        <v>76</v>
      </c>
      <c r="M8" s="16">
        <v>1299</v>
      </c>
      <c r="P8" s="18">
        <v>1002</v>
      </c>
      <c r="Q8" s="7" t="s">
        <v>47</v>
      </c>
      <c r="R8" s="7">
        <v>78</v>
      </c>
      <c r="S8" s="7">
        <v>76</v>
      </c>
      <c r="T8" s="7">
        <v>70</v>
      </c>
      <c r="U8" s="19">
        <v>43281</v>
      </c>
      <c r="V8" s="33">
        <f t="shared" ref="V8:V26" si="0">((R8+S8+T8)/3)</f>
        <v>74.666666666666671</v>
      </c>
      <c r="W8" s="33" t="str">
        <f t="shared" ref="W8:W26" si="1">IF(V8&gt;90,"A",IF(70&lt;V8,"B","C"))</f>
        <v>B</v>
      </c>
    </row>
    <row r="9" spans="1:23" ht="15" thickBot="1" x14ac:dyDescent="0.35">
      <c r="A9" s="2"/>
      <c r="D9" s="6">
        <v>1005</v>
      </c>
      <c r="E9" s="7" t="s">
        <v>50</v>
      </c>
      <c r="F9" s="7">
        <v>68</v>
      </c>
      <c r="G9" s="7">
        <v>74</v>
      </c>
      <c r="H9" s="7">
        <v>84</v>
      </c>
      <c r="I9" s="10">
        <v>43821</v>
      </c>
      <c r="J9" s="12">
        <v>5</v>
      </c>
      <c r="K9" s="12" t="s">
        <v>77</v>
      </c>
      <c r="L9" s="12" t="s">
        <v>78</v>
      </c>
      <c r="M9" s="16">
        <v>1799</v>
      </c>
      <c r="P9" s="18">
        <v>1003</v>
      </c>
      <c r="Q9" s="7" t="s">
        <v>48</v>
      </c>
      <c r="R9" s="7">
        <v>97</v>
      </c>
      <c r="S9" s="7">
        <v>60</v>
      </c>
      <c r="T9" s="7">
        <v>51</v>
      </c>
      <c r="U9" s="19">
        <v>43461</v>
      </c>
      <c r="V9" s="33">
        <f t="shared" si="0"/>
        <v>69.333333333333329</v>
      </c>
      <c r="W9" s="33" t="str">
        <f t="shared" si="1"/>
        <v>C</v>
      </c>
    </row>
    <row r="10" spans="1:23" ht="15" thickBot="1" x14ac:dyDescent="0.35">
      <c r="A10" s="3" t="s">
        <v>7</v>
      </c>
      <c r="D10" s="6">
        <v>1006</v>
      </c>
      <c r="E10" s="7" t="s">
        <v>51</v>
      </c>
      <c r="F10" s="7">
        <v>80</v>
      </c>
      <c r="G10" s="7">
        <v>70</v>
      </c>
      <c r="H10" s="7">
        <v>65</v>
      </c>
      <c r="I10" s="10">
        <v>44001</v>
      </c>
      <c r="P10" s="18">
        <v>1004</v>
      </c>
      <c r="Q10" s="7" t="s">
        <v>49</v>
      </c>
      <c r="R10" s="7">
        <v>74</v>
      </c>
      <c r="S10" s="7">
        <v>55</v>
      </c>
      <c r="T10" s="7">
        <v>46</v>
      </c>
      <c r="U10" s="19">
        <v>43641</v>
      </c>
      <c r="V10" s="33">
        <f t="shared" si="0"/>
        <v>58.333333333333336</v>
      </c>
      <c r="W10" s="33" t="str">
        <f t="shared" si="1"/>
        <v>C</v>
      </c>
    </row>
    <row r="11" spans="1:23" ht="29.4" thickBot="1" x14ac:dyDescent="0.35">
      <c r="A11" s="2" t="s">
        <v>8</v>
      </c>
      <c r="D11" s="6">
        <v>1007</v>
      </c>
      <c r="E11" s="7" t="s">
        <v>52</v>
      </c>
      <c r="F11" s="7">
        <v>75</v>
      </c>
      <c r="G11" s="7">
        <v>47</v>
      </c>
      <c r="H11" s="7">
        <v>78</v>
      </c>
      <c r="I11" s="10">
        <v>44181</v>
      </c>
      <c r="P11" s="18">
        <v>1005</v>
      </c>
      <c r="Q11" s="7" t="s">
        <v>50</v>
      </c>
      <c r="R11" s="7">
        <v>68</v>
      </c>
      <c r="S11" s="7">
        <v>74</v>
      </c>
      <c r="T11" s="7">
        <v>84</v>
      </c>
      <c r="U11" s="19">
        <v>43821</v>
      </c>
      <c r="V11" s="33">
        <f t="shared" si="0"/>
        <v>75.333333333333329</v>
      </c>
      <c r="W11" s="33" t="str">
        <f t="shared" si="1"/>
        <v>B</v>
      </c>
    </row>
    <row r="12" spans="1:23" ht="29.4" thickBot="1" x14ac:dyDescent="0.35">
      <c r="A12" s="2" t="s">
        <v>9</v>
      </c>
      <c r="D12" s="6">
        <v>1008</v>
      </c>
      <c r="E12" s="7" t="s">
        <v>53</v>
      </c>
      <c r="F12" s="7">
        <v>94</v>
      </c>
      <c r="G12" s="7">
        <v>67</v>
      </c>
      <c r="H12" s="7">
        <v>64</v>
      </c>
      <c r="I12" s="10">
        <v>44361</v>
      </c>
      <c r="P12" s="18">
        <v>1006</v>
      </c>
      <c r="Q12" s="7" t="s">
        <v>51</v>
      </c>
      <c r="R12" s="7">
        <v>80</v>
      </c>
      <c r="S12" s="7">
        <v>70</v>
      </c>
      <c r="T12" s="7">
        <v>65</v>
      </c>
      <c r="U12" s="19">
        <v>44001</v>
      </c>
      <c r="V12" s="33">
        <f t="shared" si="0"/>
        <v>71.666666666666671</v>
      </c>
      <c r="W12" s="33" t="str">
        <f t="shared" si="1"/>
        <v>B</v>
      </c>
    </row>
    <row r="13" spans="1:23" ht="16.2" thickBot="1" x14ac:dyDescent="0.35">
      <c r="A13" s="2"/>
      <c r="D13" s="6">
        <v>1009</v>
      </c>
      <c r="E13" s="7" t="s">
        <v>54</v>
      </c>
      <c r="F13" s="7">
        <v>41</v>
      </c>
      <c r="G13" s="7">
        <v>75</v>
      </c>
      <c r="H13" s="7">
        <v>56</v>
      </c>
      <c r="I13" s="10">
        <v>44541</v>
      </c>
      <c r="K13" s="4"/>
      <c r="P13" s="18">
        <v>1007</v>
      </c>
      <c r="Q13" s="7" t="s">
        <v>52</v>
      </c>
      <c r="R13" s="7">
        <v>75</v>
      </c>
      <c r="S13" s="7">
        <v>47</v>
      </c>
      <c r="T13" s="7">
        <v>78</v>
      </c>
      <c r="U13" s="19">
        <v>44181</v>
      </c>
      <c r="V13" s="33">
        <f t="shared" si="0"/>
        <v>66.666666666666671</v>
      </c>
      <c r="W13" s="33" t="str">
        <f t="shared" si="1"/>
        <v>C</v>
      </c>
    </row>
    <row r="14" spans="1:23" ht="29.4" thickBot="1" x14ac:dyDescent="0.35">
      <c r="A14" s="3" t="s">
        <v>10</v>
      </c>
      <c r="D14" s="6">
        <v>1010</v>
      </c>
      <c r="E14" s="7" t="s">
        <v>55</v>
      </c>
      <c r="F14" s="7">
        <v>98</v>
      </c>
      <c r="G14" s="7">
        <v>54</v>
      </c>
      <c r="H14" s="7">
        <v>58</v>
      </c>
      <c r="I14" s="10">
        <v>44721</v>
      </c>
      <c r="P14" s="18">
        <v>1008</v>
      </c>
      <c r="Q14" s="7" t="s">
        <v>53</v>
      </c>
      <c r="R14" s="7">
        <v>94</v>
      </c>
      <c r="S14" s="7">
        <v>67</v>
      </c>
      <c r="T14" s="7">
        <v>64</v>
      </c>
      <c r="U14" s="19">
        <v>44361</v>
      </c>
      <c r="V14" s="33">
        <f t="shared" si="0"/>
        <v>75</v>
      </c>
      <c r="W14" s="33" t="str">
        <f t="shared" si="1"/>
        <v>B</v>
      </c>
    </row>
    <row r="15" spans="1:23" ht="29.4" thickBot="1" x14ac:dyDescent="0.35">
      <c r="A15" s="2" t="s">
        <v>11</v>
      </c>
      <c r="D15" s="6">
        <v>1011</v>
      </c>
      <c r="E15" s="7" t="s">
        <v>56</v>
      </c>
      <c r="F15" s="7">
        <v>73</v>
      </c>
      <c r="G15" s="7">
        <v>79</v>
      </c>
      <c r="H15" s="7">
        <v>53</v>
      </c>
      <c r="I15" s="10">
        <v>44901</v>
      </c>
      <c r="P15" s="18">
        <v>1009</v>
      </c>
      <c r="Q15" s="7" t="s">
        <v>54</v>
      </c>
      <c r="R15" s="7">
        <v>41</v>
      </c>
      <c r="S15" s="7">
        <v>75</v>
      </c>
      <c r="T15" s="7">
        <v>56</v>
      </c>
      <c r="U15" s="19">
        <v>44541</v>
      </c>
      <c r="V15" s="33">
        <f t="shared" si="0"/>
        <v>57.333333333333336</v>
      </c>
      <c r="W15" s="33" t="str">
        <f t="shared" si="1"/>
        <v>C</v>
      </c>
    </row>
    <row r="16" spans="1:23" ht="29.4" thickBot="1" x14ac:dyDescent="0.35">
      <c r="A16" s="2" t="s">
        <v>12</v>
      </c>
      <c r="D16" s="6">
        <v>1012</v>
      </c>
      <c r="E16" s="7" t="s">
        <v>57</v>
      </c>
      <c r="F16" s="7">
        <v>85</v>
      </c>
      <c r="G16" s="7">
        <v>89</v>
      </c>
      <c r="H16" s="7">
        <v>79</v>
      </c>
      <c r="I16" s="10">
        <v>45081</v>
      </c>
      <c r="P16" s="18">
        <v>1010</v>
      </c>
      <c r="Q16" s="7" t="s">
        <v>55</v>
      </c>
      <c r="R16" s="7">
        <v>98</v>
      </c>
      <c r="S16" s="7">
        <v>54</v>
      </c>
      <c r="T16" s="7">
        <v>58</v>
      </c>
      <c r="U16" s="19">
        <v>44721</v>
      </c>
      <c r="V16" s="33">
        <f t="shared" si="0"/>
        <v>70</v>
      </c>
      <c r="W16" s="33" t="str">
        <f t="shared" si="1"/>
        <v>C</v>
      </c>
    </row>
    <row r="17" spans="1:23" ht="29.4" thickBot="1" x14ac:dyDescent="0.35">
      <c r="A17" s="2" t="s">
        <v>13</v>
      </c>
      <c r="D17" s="6">
        <v>1013</v>
      </c>
      <c r="E17" s="7" t="s">
        <v>58</v>
      </c>
      <c r="F17" s="7">
        <v>98</v>
      </c>
      <c r="G17" s="7">
        <v>90</v>
      </c>
      <c r="H17" s="7">
        <v>97</v>
      </c>
      <c r="I17" s="10">
        <v>45261</v>
      </c>
      <c r="P17" s="18">
        <v>1011</v>
      </c>
      <c r="Q17" s="7" t="s">
        <v>56</v>
      </c>
      <c r="R17" s="7">
        <v>73</v>
      </c>
      <c r="S17" s="7">
        <v>79</v>
      </c>
      <c r="T17" s="7">
        <v>53</v>
      </c>
      <c r="U17" s="19">
        <v>44901</v>
      </c>
      <c r="V17" s="33">
        <f t="shared" si="0"/>
        <v>68.333333333333329</v>
      </c>
      <c r="W17" s="33" t="str">
        <f t="shared" si="1"/>
        <v>C</v>
      </c>
    </row>
    <row r="18" spans="1:23" ht="29.4" thickBot="1" x14ac:dyDescent="0.35">
      <c r="A18" s="2"/>
      <c r="D18" s="6">
        <v>1014</v>
      </c>
      <c r="E18" s="7" t="s">
        <v>59</v>
      </c>
      <c r="F18" s="7">
        <v>93</v>
      </c>
      <c r="G18" s="7">
        <v>40</v>
      </c>
      <c r="H18" s="7">
        <v>44</v>
      </c>
      <c r="I18" s="10">
        <v>45441</v>
      </c>
      <c r="P18" s="18">
        <v>1012</v>
      </c>
      <c r="Q18" s="7" t="s">
        <v>57</v>
      </c>
      <c r="R18" s="7">
        <v>85</v>
      </c>
      <c r="S18" s="7">
        <v>89</v>
      </c>
      <c r="T18" s="7">
        <v>79</v>
      </c>
      <c r="U18" s="19">
        <v>45081</v>
      </c>
      <c r="V18" s="33">
        <f t="shared" si="0"/>
        <v>84.333333333333329</v>
      </c>
      <c r="W18" s="33" t="str">
        <f t="shared" si="1"/>
        <v>B</v>
      </c>
    </row>
    <row r="19" spans="1:23" ht="29.4" thickBot="1" x14ac:dyDescent="0.35">
      <c r="A19" s="3" t="s">
        <v>14</v>
      </c>
      <c r="D19" s="6">
        <v>1015</v>
      </c>
      <c r="E19" s="7" t="s">
        <v>60</v>
      </c>
      <c r="F19" s="7">
        <v>70</v>
      </c>
      <c r="G19" s="7">
        <v>51</v>
      </c>
      <c r="H19" s="7">
        <v>75</v>
      </c>
      <c r="I19" s="10">
        <v>45621</v>
      </c>
      <c r="P19" s="18">
        <v>1013</v>
      </c>
      <c r="Q19" s="7" t="s">
        <v>58</v>
      </c>
      <c r="R19" s="7">
        <v>98</v>
      </c>
      <c r="S19" s="7">
        <v>90</v>
      </c>
      <c r="T19" s="7">
        <v>97</v>
      </c>
      <c r="U19" s="19">
        <v>45261</v>
      </c>
      <c r="V19" s="33">
        <f t="shared" si="0"/>
        <v>95</v>
      </c>
      <c r="W19" s="33" t="str">
        <f t="shared" si="1"/>
        <v>A</v>
      </c>
    </row>
    <row r="20" spans="1:23" ht="29.4" thickBot="1" x14ac:dyDescent="0.35">
      <c r="A20" s="2" t="s">
        <v>15</v>
      </c>
      <c r="B20" t="str">
        <f>VLOOKUP(1015,D4:I24,2,FALSE)</f>
        <v>Student 15</v>
      </c>
      <c r="D20" s="6">
        <v>1016</v>
      </c>
      <c r="E20" s="7" t="s">
        <v>61</v>
      </c>
      <c r="F20" s="7">
        <v>98</v>
      </c>
      <c r="G20" s="7">
        <v>77</v>
      </c>
      <c r="H20" s="7">
        <v>60</v>
      </c>
      <c r="I20" s="10">
        <v>45801</v>
      </c>
      <c r="P20" s="18">
        <v>1014</v>
      </c>
      <c r="Q20" s="7" t="s">
        <v>59</v>
      </c>
      <c r="R20" s="7">
        <v>93</v>
      </c>
      <c r="S20" s="7">
        <v>40</v>
      </c>
      <c r="T20" s="7">
        <v>44</v>
      </c>
      <c r="U20" s="19">
        <v>45441</v>
      </c>
      <c r="V20" s="33">
        <f t="shared" si="0"/>
        <v>59</v>
      </c>
      <c r="W20" s="33" t="str">
        <f t="shared" si="1"/>
        <v>C</v>
      </c>
    </row>
    <row r="21" spans="1:23" ht="29.4" thickBot="1" x14ac:dyDescent="0.35">
      <c r="A21" s="2" t="s">
        <v>16</v>
      </c>
      <c r="B21" t="str">
        <f>VLOOKUP(1, J4:M9, 3, FALSE)</f>
        <v>Wireless Mouse</v>
      </c>
      <c r="D21" s="6">
        <v>1017</v>
      </c>
      <c r="E21" s="7" t="s">
        <v>62</v>
      </c>
      <c r="F21" s="7">
        <v>66</v>
      </c>
      <c r="G21" s="7">
        <v>59</v>
      </c>
      <c r="H21" s="7">
        <v>40</v>
      </c>
      <c r="I21" s="10">
        <v>45981</v>
      </c>
      <c r="P21" s="18">
        <v>1015</v>
      </c>
      <c r="Q21" s="7" t="s">
        <v>60</v>
      </c>
      <c r="R21" s="7">
        <v>70</v>
      </c>
      <c r="S21" s="7">
        <v>51</v>
      </c>
      <c r="T21" s="7">
        <v>75</v>
      </c>
      <c r="U21" s="19">
        <v>45621</v>
      </c>
      <c r="V21" s="33">
        <f t="shared" si="0"/>
        <v>65.333333333333329</v>
      </c>
      <c r="W21" s="33" t="str">
        <f t="shared" si="1"/>
        <v>C</v>
      </c>
    </row>
    <row r="22" spans="1:23" ht="29.4" thickBot="1" x14ac:dyDescent="0.35">
      <c r="A22" s="2"/>
      <c r="D22" s="6">
        <v>1018</v>
      </c>
      <c r="E22" s="7" t="s">
        <v>63</v>
      </c>
      <c r="F22" s="7">
        <v>82</v>
      </c>
      <c r="G22" s="7">
        <v>48</v>
      </c>
      <c r="H22" s="7">
        <v>79</v>
      </c>
      <c r="I22" s="10">
        <v>46161</v>
      </c>
      <c r="P22" s="18">
        <v>1016</v>
      </c>
      <c r="Q22" s="7" t="s">
        <v>61</v>
      </c>
      <c r="R22" s="7">
        <v>98</v>
      </c>
      <c r="S22" s="7">
        <v>77</v>
      </c>
      <c r="T22" s="7">
        <v>60</v>
      </c>
      <c r="U22" s="19">
        <v>45801</v>
      </c>
      <c r="V22" s="33">
        <f t="shared" si="0"/>
        <v>78.333333333333329</v>
      </c>
      <c r="W22" s="33" t="str">
        <f t="shared" si="1"/>
        <v>B</v>
      </c>
    </row>
    <row r="23" spans="1:23" ht="29.4" thickBot="1" x14ac:dyDescent="0.35">
      <c r="A23" s="3" t="s">
        <v>17</v>
      </c>
      <c r="D23" s="6">
        <v>1019</v>
      </c>
      <c r="E23" s="7" t="s">
        <v>64</v>
      </c>
      <c r="F23" s="7">
        <v>90</v>
      </c>
      <c r="G23" s="7">
        <v>78</v>
      </c>
      <c r="H23" s="7">
        <v>60</v>
      </c>
      <c r="I23" s="10">
        <v>46341</v>
      </c>
      <c r="P23" s="18">
        <v>1017</v>
      </c>
      <c r="Q23" s="7" t="s">
        <v>62</v>
      </c>
      <c r="R23" s="7">
        <v>66</v>
      </c>
      <c r="S23" s="7">
        <v>59</v>
      </c>
      <c r="T23" s="7">
        <v>40</v>
      </c>
      <c r="U23" s="19">
        <v>45981</v>
      </c>
      <c r="V23" s="33">
        <f t="shared" si="0"/>
        <v>55</v>
      </c>
      <c r="W23" s="33" t="str">
        <f t="shared" si="1"/>
        <v>C</v>
      </c>
    </row>
    <row r="24" spans="1:23" ht="29.4" thickBot="1" x14ac:dyDescent="0.35">
      <c r="A24" s="2" t="s">
        <v>18</v>
      </c>
      <c r="B24" cm="1">
        <f t="array" ref="B24">INDEX(Table5[[#All],[Sales]],MATCH(1,(Table5[[#All],[Salesperson]]="Priya")*(Table5[[#All],[Month]]="January"),0))</f>
        <v>32000</v>
      </c>
      <c r="D24" s="6">
        <v>1020</v>
      </c>
      <c r="E24" s="7" t="s">
        <v>65</v>
      </c>
      <c r="F24" s="7">
        <v>83</v>
      </c>
      <c r="G24" s="7">
        <v>92</v>
      </c>
      <c r="H24" s="7">
        <v>55</v>
      </c>
      <c r="I24" s="10">
        <v>46521</v>
      </c>
      <c r="P24" s="18">
        <v>1018</v>
      </c>
      <c r="Q24" s="7" t="s">
        <v>63</v>
      </c>
      <c r="R24" s="7">
        <v>82</v>
      </c>
      <c r="S24" s="7">
        <v>48</v>
      </c>
      <c r="T24" s="7">
        <v>79</v>
      </c>
      <c r="U24" s="19">
        <v>46161</v>
      </c>
      <c r="V24" s="33">
        <f t="shared" si="0"/>
        <v>69.666666666666671</v>
      </c>
      <c r="W24" s="33" t="str">
        <f t="shared" si="1"/>
        <v>C</v>
      </c>
    </row>
    <row r="25" spans="1:23" ht="29.4" thickBot="1" x14ac:dyDescent="0.35">
      <c r="A25" s="2" t="s">
        <v>19</v>
      </c>
      <c r="B25" t="str">
        <f>INDEX(Table6[[#All],[Name]],MATCH(C25,Table6[[#All],[Employee ID]],0))</f>
        <v>Employee 2</v>
      </c>
      <c r="C25" s="26">
        <v>3002</v>
      </c>
      <c r="P25" s="18">
        <v>1019</v>
      </c>
      <c r="Q25" s="7" t="s">
        <v>64</v>
      </c>
      <c r="R25" s="7">
        <v>90</v>
      </c>
      <c r="S25" s="7">
        <v>78</v>
      </c>
      <c r="T25" s="7">
        <v>60</v>
      </c>
      <c r="U25" s="19">
        <v>46341</v>
      </c>
      <c r="V25" s="33">
        <f t="shared" si="0"/>
        <v>76</v>
      </c>
      <c r="W25" s="33" t="str">
        <f t="shared" si="1"/>
        <v>B</v>
      </c>
    </row>
    <row r="26" spans="1:23" ht="29.4" thickBot="1" x14ac:dyDescent="0.35">
      <c r="A26" s="2"/>
      <c r="P26" s="18">
        <v>1020</v>
      </c>
      <c r="Q26" s="7" t="s">
        <v>65</v>
      </c>
      <c r="R26" s="7">
        <v>83</v>
      </c>
      <c r="S26" s="7">
        <v>92</v>
      </c>
      <c r="T26" s="7">
        <v>55</v>
      </c>
      <c r="U26" s="19">
        <v>46521</v>
      </c>
      <c r="V26" s="33">
        <f t="shared" si="0"/>
        <v>76.666666666666671</v>
      </c>
      <c r="W26" s="33" t="str">
        <f t="shared" si="1"/>
        <v>B</v>
      </c>
    </row>
    <row r="27" spans="1:23" ht="18.600000000000001" thickBot="1" x14ac:dyDescent="0.4">
      <c r="A27" s="3" t="s">
        <v>20</v>
      </c>
      <c r="I27" s="27" t="s">
        <v>80</v>
      </c>
    </row>
    <row r="28" spans="1:23" ht="15" thickBot="1" x14ac:dyDescent="0.35">
      <c r="A28" s="2" t="s">
        <v>21</v>
      </c>
      <c r="B28" t="str">
        <f>LEFT(D30,8)</f>
        <v>PRIYANSH</v>
      </c>
      <c r="C28">
        <f>FIND("PRIYANSH",D30)</f>
        <v>1</v>
      </c>
    </row>
    <row r="29" spans="1:23" ht="29.4" thickBot="1" x14ac:dyDescent="0.35">
      <c r="A29" s="2" t="s">
        <v>22</v>
      </c>
      <c r="B29" t="str">
        <f>UPPER(D31)</f>
        <v>ANSH PATOLIYA</v>
      </c>
      <c r="C29" t="str">
        <f>LOWER(D31)</f>
        <v>ansh patoliya</v>
      </c>
      <c r="D29" t="s">
        <v>117</v>
      </c>
      <c r="F29" s="11" t="s">
        <v>81</v>
      </c>
      <c r="G29" s="11" t="s">
        <v>82</v>
      </c>
      <c r="H29" s="11" t="s">
        <v>83</v>
      </c>
      <c r="I29" s="20" t="s">
        <v>89</v>
      </c>
      <c r="J29" s="21" t="s">
        <v>41</v>
      </c>
      <c r="K29" s="21" t="s">
        <v>90</v>
      </c>
      <c r="L29" s="21" t="s">
        <v>91</v>
      </c>
      <c r="M29" s="22" t="s">
        <v>92</v>
      </c>
    </row>
    <row r="30" spans="1:23" ht="18.600000000000001" thickBot="1" x14ac:dyDescent="0.4">
      <c r="A30" s="2"/>
      <c r="D30" t="s">
        <v>118</v>
      </c>
      <c r="F30" s="12" t="s">
        <v>84</v>
      </c>
      <c r="G30" s="12" t="s">
        <v>85</v>
      </c>
      <c r="H30" s="13">
        <v>25000</v>
      </c>
      <c r="I30" s="18">
        <v>3001</v>
      </c>
      <c r="J30" s="7" t="s">
        <v>93</v>
      </c>
      <c r="K30" s="7" t="s">
        <v>94</v>
      </c>
      <c r="L30" s="7">
        <v>86766</v>
      </c>
      <c r="M30" s="19">
        <v>42005</v>
      </c>
      <c r="P30" s="27" t="s">
        <v>126</v>
      </c>
    </row>
    <row r="31" spans="1:23" ht="15" thickBot="1" x14ac:dyDescent="0.35">
      <c r="A31" s="3" t="s">
        <v>23</v>
      </c>
      <c r="D31" t="s">
        <v>119</v>
      </c>
      <c r="F31" s="12" t="s">
        <v>86</v>
      </c>
      <c r="G31" s="12" t="s">
        <v>85</v>
      </c>
      <c r="H31" s="13">
        <v>32000</v>
      </c>
      <c r="I31" s="18">
        <v>3002</v>
      </c>
      <c r="J31" s="7" t="s">
        <v>95</v>
      </c>
      <c r="K31" s="7" t="s">
        <v>94</v>
      </c>
      <c r="L31" s="7">
        <v>31943</v>
      </c>
      <c r="M31" s="19">
        <v>42255</v>
      </c>
    </row>
    <row r="32" spans="1:23" ht="29.4" thickBot="1" x14ac:dyDescent="0.35">
      <c r="A32" s="2" t="s">
        <v>24</v>
      </c>
      <c r="B32" cm="1">
        <f t="array" ref="B32">_xlfn.XLOOKUP(C32,Table5[[#All],[Salesperson]],Table5[[#All],[Sales]],"USER NOT FOUND")</f>
        <v>32000</v>
      </c>
      <c r="C32" t="s">
        <v>86</v>
      </c>
      <c r="F32" s="12" t="s">
        <v>87</v>
      </c>
      <c r="G32" s="12" t="s">
        <v>85</v>
      </c>
      <c r="H32" s="13">
        <v>28000</v>
      </c>
      <c r="I32" s="18">
        <v>3003</v>
      </c>
      <c r="J32" s="7" t="s">
        <v>96</v>
      </c>
      <c r="K32" s="7" t="s">
        <v>97</v>
      </c>
      <c r="L32" s="7">
        <v>63374</v>
      </c>
      <c r="M32" s="19">
        <v>42505</v>
      </c>
      <c r="P32" s="11" t="s">
        <v>81</v>
      </c>
      <c r="Q32" s="11" t="s">
        <v>82</v>
      </c>
      <c r="R32" s="11" t="s">
        <v>83</v>
      </c>
      <c r="S32" s="11" t="s">
        <v>125</v>
      </c>
    </row>
    <row r="33" spans="1:19" ht="15" thickBot="1" x14ac:dyDescent="0.35">
      <c r="A33" s="2" t="s">
        <v>25</v>
      </c>
      <c r="B33" cm="1">
        <f t="array" ref="B33">_xlfn.XLOOKUP(C33,Table6[[#All],[Name]],Table6[[#All],[Salary]],"Employee not found!!")</f>
        <v>109972</v>
      </c>
      <c r="C33" t="s">
        <v>98</v>
      </c>
      <c r="F33" s="12" t="s">
        <v>84</v>
      </c>
      <c r="G33" s="12" t="s">
        <v>88</v>
      </c>
      <c r="H33" s="13">
        <v>30000</v>
      </c>
      <c r="I33" s="18">
        <v>3004</v>
      </c>
      <c r="J33" s="7" t="s">
        <v>98</v>
      </c>
      <c r="K33" s="7" t="s">
        <v>94</v>
      </c>
      <c r="L33" s="7">
        <v>109972</v>
      </c>
      <c r="M33" s="19">
        <v>42755</v>
      </c>
      <c r="P33" s="12" t="s">
        <v>84</v>
      </c>
      <c r="Q33" s="12" t="s">
        <v>85</v>
      </c>
      <c r="R33" s="13">
        <v>25000</v>
      </c>
      <c r="S33" t="str">
        <f>IF(Table53[[#This Row],[Sales]]&gt;20000,"Yes","No")</f>
        <v>Yes</v>
      </c>
    </row>
    <row r="34" spans="1:19" ht="15" thickBot="1" x14ac:dyDescent="0.35">
      <c r="A34" s="2"/>
      <c r="F34" s="12" t="s">
        <v>86</v>
      </c>
      <c r="G34" s="12" t="s">
        <v>88</v>
      </c>
      <c r="H34" s="13">
        <v>35000</v>
      </c>
      <c r="I34" s="18">
        <v>3005</v>
      </c>
      <c r="J34" s="7" t="s">
        <v>99</v>
      </c>
      <c r="K34" s="7" t="s">
        <v>100</v>
      </c>
      <c r="L34" s="7">
        <v>54149</v>
      </c>
      <c r="M34" s="19">
        <v>43005</v>
      </c>
      <c r="P34" s="12" t="s">
        <v>86</v>
      </c>
      <c r="Q34" s="12" t="s">
        <v>85</v>
      </c>
      <c r="R34" s="13">
        <v>32000</v>
      </c>
      <c r="S34" t="str">
        <f>IF(Table53[[#This Row],[Sales]]&gt;20000,"Yes","No")</f>
        <v>Yes</v>
      </c>
    </row>
    <row r="35" spans="1:19" ht="15" thickBot="1" x14ac:dyDescent="0.35">
      <c r="A35" s="3" t="s">
        <v>26</v>
      </c>
      <c r="I35" s="18">
        <v>3006</v>
      </c>
      <c r="J35" s="7" t="s">
        <v>101</v>
      </c>
      <c r="K35" s="7" t="s">
        <v>100</v>
      </c>
      <c r="L35" s="7">
        <v>78689</v>
      </c>
      <c r="M35" s="19">
        <v>43255</v>
      </c>
      <c r="P35" s="12" t="s">
        <v>87</v>
      </c>
      <c r="Q35" s="12" t="s">
        <v>85</v>
      </c>
      <c r="R35" s="13">
        <v>28000</v>
      </c>
      <c r="S35" t="str">
        <f>IF(Table53[[#This Row],[Sales]]&gt;20000,"Yes","No")</f>
        <v>Yes</v>
      </c>
    </row>
    <row r="36" spans="1:19" ht="15" thickBot="1" x14ac:dyDescent="0.35">
      <c r="A36" s="2" t="s">
        <v>27</v>
      </c>
      <c r="B36">
        <f>_xlfn.XMATCH(C36,Table4[[#All],[Product Name]])</f>
        <v>5</v>
      </c>
      <c r="C36" t="s">
        <v>76</v>
      </c>
      <c r="I36" s="18">
        <v>3007</v>
      </c>
      <c r="J36" s="7" t="s">
        <v>102</v>
      </c>
      <c r="K36" s="7" t="s">
        <v>103</v>
      </c>
      <c r="L36" s="7">
        <v>35960</v>
      </c>
      <c r="M36" s="19">
        <v>43505</v>
      </c>
      <c r="P36" s="12" t="s">
        <v>84</v>
      </c>
      <c r="Q36" s="12" t="s">
        <v>88</v>
      </c>
      <c r="R36" s="13">
        <v>30000</v>
      </c>
      <c r="S36" t="str">
        <f>IF(Table53[[#This Row],[Sales]]&gt;20000,"Yes","No")</f>
        <v>Yes</v>
      </c>
    </row>
    <row r="37" spans="1:19" ht="15" thickBot="1" x14ac:dyDescent="0.35">
      <c r="A37" s="2"/>
      <c r="I37" s="18">
        <v>3008</v>
      </c>
      <c r="J37" s="7" t="s">
        <v>104</v>
      </c>
      <c r="K37" s="7" t="s">
        <v>100</v>
      </c>
      <c r="L37" s="7">
        <v>91659</v>
      </c>
      <c r="M37" s="19">
        <v>43755</v>
      </c>
      <c r="P37" s="12" t="s">
        <v>86</v>
      </c>
      <c r="Q37" s="12" t="s">
        <v>88</v>
      </c>
      <c r="R37" s="13">
        <v>35000</v>
      </c>
      <c r="S37" t="str">
        <f>IF(Table53[[#This Row],[Sales]]&gt;20000,"Yes","No")</f>
        <v>Yes</v>
      </c>
    </row>
    <row r="38" spans="1:19" ht="15" thickBot="1" x14ac:dyDescent="0.35">
      <c r="A38" s="3" t="s">
        <v>28</v>
      </c>
      <c r="I38" s="18">
        <v>3009</v>
      </c>
      <c r="J38" s="7" t="s">
        <v>105</v>
      </c>
      <c r="K38" s="7" t="s">
        <v>100</v>
      </c>
      <c r="L38" s="7">
        <v>90423</v>
      </c>
      <c r="M38" s="19">
        <v>44005</v>
      </c>
    </row>
    <row r="39" spans="1:19" ht="29.4" thickBot="1" x14ac:dyDescent="0.35">
      <c r="A39" s="2" t="s">
        <v>29</v>
      </c>
      <c r="B39" cm="1">
        <f t="array" aca="1" ref="B39" ca="1">INDIRECT(C39)</f>
        <v>3011</v>
      </c>
      <c r="C39" t="s">
        <v>120</v>
      </c>
      <c r="I39" s="18">
        <v>3010</v>
      </c>
      <c r="J39" s="7" t="s">
        <v>106</v>
      </c>
      <c r="K39" s="7" t="s">
        <v>97</v>
      </c>
      <c r="L39" s="7">
        <v>107877</v>
      </c>
      <c r="M39" s="19">
        <v>44255</v>
      </c>
    </row>
    <row r="40" spans="1:19" ht="29.4" thickBot="1" x14ac:dyDescent="0.35">
      <c r="A40" s="2"/>
      <c r="I40" s="18">
        <v>3011</v>
      </c>
      <c r="J40" s="7" t="s">
        <v>107</v>
      </c>
      <c r="K40" s="7" t="s">
        <v>94</v>
      </c>
      <c r="L40" s="7">
        <v>107634</v>
      </c>
      <c r="M40" s="19">
        <v>44505</v>
      </c>
    </row>
    <row r="41" spans="1:19" ht="29.4" thickBot="1" x14ac:dyDescent="0.35">
      <c r="A41" s="3" t="s">
        <v>30</v>
      </c>
      <c r="B41" cm="1">
        <f t="array" aca="1" ref="B41:B45" ca="1">OFFSET(Table5[[#Headers],[Sales]],1,0,COUNTA(Table5[Sales]-1),1)</f>
        <v>25000</v>
      </c>
      <c r="I41" s="18">
        <v>3012</v>
      </c>
      <c r="J41" s="7" t="s">
        <v>108</v>
      </c>
      <c r="K41" s="7" t="s">
        <v>94</v>
      </c>
      <c r="L41" s="7">
        <v>35226</v>
      </c>
      <c r="M41" s="19">
        <v>44755</v>
      </c>
    </row>
    <row r="42" spans="1:19" ht="29.4" thickBot="1" x14ac:dyDescent="0.35">
      <c r="A42" s="2" t="s">
        <v>31</v>
      </c>
      <c r="B42">
        <f ca="1"/>
        <v>32000</v>
      </c>
      <c r="I42" s="18">
        <v>3013</v>
      </c>
      <c r="J42" s="7" t="s">
        <v>109</v>
      </c>
      <c r="K42" s="7" t="s">
        <v>97</v>
      </c>
      <c r="L42" s="7">
        <v>40872</v>
      </c>
      <c r="M42" s="19">
        <v>45005</v>
      </c>
    </row>
    <row r="43" spans="1:19" ht="19.8" customHeight="1" thickBot="1" x14ac:dyDescent="0.35">
      <c r="A43" s="2"/>
      <c r="B43">
        <f ca="1"/>
        <v>28000</v>
      </c>
      <c r="I43" s="18"/>
      <c r="J43" s="7"/>
      <c r="K43" s="7"/>
      <c r="L43" s="7"/>
      <c r="M43" s="19"/>
    </row>
    <row r="44" spans="1:19" ht="18.600000000000001" customHeight="1" thickBot="1" x14ac:dyDescent="0.35">
      <c r="A44" s="2"/>
      <c r="B44">
        <f ca="1"/>
        <v>30000</v>
      </c>
      <c r="I44" s="18"/>
      <c r="J44" s="7"/>
      <c r="K44" s="7"/>
      <c r="L44" s="7"/>
      <c r="M44" s="19"/>
    </row>
    <row r="45" spans="1:19" ht="29.4" thickBot="1" x14ac:dyDescent="0.35">
      <c r="A45" s="2"/>
      <c r="B45">
        <f ca="1"/>
        <v>35000</v>
      </c>
      <c r="I45" s="18">
        <v>3014</v>
      </c>
      <c r="J45" s="7" t="s">
        <v>110</v>
      </c>
      <c r="K45" s="7" t="s">
        <v>97</v>
      </c>
      <c r="L45" s="7">
        <v>55378</v>
      </c>
      <c r="M45" s="19">
        <v>45255</v>
      </c>
    </row>
    <row r="46" spans="1:19" ht="29.4" thickBot="1" x14ac:dyDescent="0.35">
      <c r="A46" s="3" t="s">
        <v>32</v>
      </c>
      <c r="I46" s="18">
        <v>3015</v>
      </c>
      <c r="J46" s="7" t="s">
        <v>111</v>
      </c>
      <c r="K46" s="7" t="s">
        <v>97</v>
      </c>
      <c r="L46" s="7">
        <v>63297</v>
      </c>
      <c r="M46" s="19">
        <v>45505</v>
      </c>
    </row>
    <row r="47" spans="1:19" ht="29.4" thickBot="1" x14ac:dyDescent="0.35">
      <c r="A47" s="2" t="s">
        <v>33</v>
      </c>
      <c r="B47">
        <f ca="1">DATEDIF(C47, NOW(), "Y")</f>
        <v>19</v>
      </c>
      <c r="C47" s="14">
        <v>38955</v>
      </c>
      <c r="I47" s="18">
        <v>3016</v>
      </c>
      <c r="J47" s="7" t="s">
        <v>112</v>
      </c>
      <c r="K47" s="7" t="s">
        <v>94</v>
      </c>
      <c r="L47" s="7">
        <v>114173</v>
      </c>
      <c r="M47" s="19">
        <v>45755</v>
      </c>
    </row>
    <row r="48" spans="1:19" ht="29.4" thickBot="1" x14ac:dyDescent="0.35">
      <c r="A48" s="2" t="s">
        <v>34</v>
      </c>
      <c r="B48">
        <f>DATEDIF(C47, C48, "D")</f>
        <v>368</v>
      </c>
      <c r="C48" s="14">
        <v>39323</v>
      </c>
      <c r="I48" s="18">
        <v>3017</v>
      </c>
      <c r="J48" s="7" t="s">
        <v>113</v>
      </c>
      <c r="K48" s="7" t="s">
        <v>97</v>
      </c>
      <c r="L48" s="7">
        <v>86915</v>
      </c>
      <c r="M48" s="19">
        <v>46005</v>
      </c>
    </row>
    <row r="49" spans="1:13" ht="29.4" thickBot="1" x14ac:dyDescent="0.35">
      <c r="A49" s="2"/>
      <c r="I49" s="18">
        <v>3018</v>
      </c>
      <c r="J49" s="7" t="s">
        <v>114</v>
      </c>
      <c r="K49" s="7" t="s">
        <v>100</v>
      </c>
      <c r="L49" s="7">
        <v>116284</v>
      </c>
      <c r="M49" s="19">
        <v>46255</v>
      </c>
    </row>
    <row r="50" spans="1:13" ht="29.4" thickBot="1" x14ac:dyDescent="0.35">
      <c r="A50" s="3" t="s">
        <v>35</v>
      </c>
      <c r="B50">
        <f>FLOOR(12,7)</f>
        <v>7</v>
      </c>
      <c r="I50" s="18">
        <v>3019</v>
      </c>
      <c r="J50" s="7" t="s">
        <v>115</v>
      </c>
      <c r="K50" s="7" t="s">
        <v>103</v>
      </c>
      <c r="L50" s="7">
        <v>116283</v>
      </c>
      <c r="M50" s="19">
        <v>46505</v>
      </c>
    </row>
    <row r="51" spans="1:13" ht="29.4" thickBot="1" x14ac:dyDescent="0.35">
      <c r="A51" s="2" t="s">
        <v>36</v>
      </c>
      <c r="B51">
        <f>ROUND(12.5777,2)</f>
        <v>12.58</v>
      </c>
      <c r="I51" s="23">
        <v>3020</v>
      </c>
      <c r="J51" s="24" t="s">
        <v>116</v>
      </c>
      <c r="K51" s="24" t="s">
        <v>103</v>
      </c>
      <c r="L51" s="24">
        <v>99924</v>
      </c>
      <c r="M51" s="25">
        <v>46755</v>
      </c>
    </row>
    <row r="52" spans="1:13" ht="15" thickBot="1" x14ac:dyDescent="0.35">
      <c r="A52" s="2"/>
      <c r="B52">
        <f>CEILING(12,7)</f>
        <v>14</v>
      </c>
    </row>
    <row r="53" spans="1:13" ht="15" thickBot="1" x14ac:dyDescent="0.35">
      <c r="A53" s="3" t="s">
        <v>37</v>
      </c>
      <c r="D53" s="28">
        <f>DATEDIF("01-Jan-2020", "24-Feb-2025", "Y")</f>
        <v>5</v>
      </c>
    </row>
    <row r="54" spans="1:13" ht="15" thickBot="1" x14ac:dyDescent="0.35">
      <c r="A54" s="2" t="s">
        <v>38</v>
      </c>
      <c r="B54" cm="1">
        <f t="array" ref="B54:G56">_xlfn._xlws.FILTER(D61:I80,Table8[Total]&gt;230)</f>
        <v>1012</v>
      </c>
      <c r="C54" t="str">
        <v>Student 12</v>
      </c>
      <c r="D54">
        <v>85</v>
      </c>
      <c r="E54">
        <v>89</v>
      </c>
      <c r="F54">
        <v>79</v>
      </c>
      <c r="G54">
        <v>253</v>
      </c>
    </row>
    <row r="55" spans="1:13" x14ac:dyDescent="0.3">
      <c r="B55">
        <v>1013</v>
      </c>
      <c r="C55" t="str">
        <v>Student 13</v>
      </c>
      <c r="D55">
        <v>98</v>
      </c>
      <c r="E55">
        <v>90</v>
      </c>
      <c r="F55">
        <v>97</v>
      </c>
      <c r="G55">
        <v>285</v>
      </c>
    </row>
    <row r="56" spans="1:13" x14ac:dyDescent="0.3">
      <c r="B56">
        <v>1016</v>
      </c>
      <c r="C56" t="str">
        <v>Student 16</v>
      </c>
      <c r="D56">
        <v>98</v>
      </c>
      <c r="E56">
        <v>77</v>
      </c>
      <c r="F56">
        <v>60</v>
      </c>
      <c r="G56">
        <v>235</v>
      </c>
    </row>
    <row r="59" spans="1:13" ht="15" thickBot="1" x14ac:dyDescent="0.35"/>
    <row r="60" spans="1:13" ht="15" thickBot="1" x14ac:dyDescent="0.35">
      <c r="D60" s="17" t="s">
        <v>40</v>
      </c>
      <c r="E60" s="5" t="s">
        <v>41</v>
      </c>
      <c r="F60" s="5" t="s">
        <v>42</v>
      </c>
      <c r="G60" s="5" t="s">
        <v>43</v>
      </c>
      <c r="H60" s="5" t="s">
        <v>44</v>
      </c>
      <c r="I60" s="29" t="s">
        <v>121</v>
      </c>
    </row>
    <row r="61" spans="1:13" ht="15" thickBot="1" x14ac:dyDescent="0.35">
      <c r="D61" s="18">
        <v>1001</v>
      </c>
      <c r="E61" s="7" t="s">
        <v>46</v>
      </c>
      <c r="F61" s="7">
        <v>61</v>
      </c>
      <c r="G61" s="7">
        <v>48</v>
      </c>
      <c r="H61" s="7">
        <v>76</v>
      </c>
      <c r="I61">
        <f>SUM(F61:H61)</f>
        <v>185</v>
      </c>
    </row>
    <row r="62" spans="1:13" ht="15" thickBot="1" x14ac:dyDescent="0.35">
      <c r="D62" s="18">
        <v>1002</v>
      </c>
      <c r="E62" s="7" t="s">
        <v>47</v>
      </c>
      <c r="F62" s="7">
        <v>78</v>
      </c>
      <c r="G62" s="7">
        <v>76</v>
      </c>
      <c r="H62" s="7">
        <v>70</v>
      </c>
      <c r="I62">
        <f>SUM(F62:H62)</f>
        <v>224</v>
      </c>
    </row>
    <row r="63" spans="1:13" ht="15" thickBot="1" x14ac:dyDescent="0.35">
      <c r="D63" s="18">
        <v>1003</v>
      </c>
      <c r="E63" s="7" t="s">
        <v>48</v>
      </c>
      <c r="F63" s="7">
        <v>97</v>
      </c>
      <c r="G63" s="7">
        <v>60</v>
      </c>
      <c r="H63" s="7">
        <v>51</v>
      </c>
      <c r="I63">
        <f t="shared" ref="I63:I80" si="2">SUM(F63:H63)</f>
        <v>208</v>
      </c>
    </row>
    <row r="64" spans="1:13" ht="15" thickBot="1" x14ac:dyDescent="0.35">
      <c r="D64" s="18">
        <v>1004</v>
      </c>
      <c r="E64" s="7" t="s">
        <v>49</v>
      </c>
      <c r="F64" s="7">
        <v>74</v>
      </c>
      <c r="G64" s="7">
        <v>55</v>
      </c>
      <c r="H64" s="7">
        <v>46</v>
      </c>
      <c r="I64">
        <f t="shared" si="2"/>
        <v>175</v>
      </c>
    </row>
    <row r="65" spans="4:9" ht="15" thickBot="1" x14ac:dyDescent="0.35">
      <c r="D65" s="18">
        <v>1005</v>
      </c>
      <c r="E65" s="7" t="s">
        <v>50</v>
      </c>
      <c r="F65" s="7">
        <v>68</v>
      </c>
      <c r="G65" s="7">
        <v>74</v>
      </c>
      <c r="H65" s="7">
        <v>84</v>
      </c>
      <c r="I65">
        <f t="shared" si="2"/>
        <v>226</v>
      </c>
    </row>
    <row r="66" spans="4:9" ht="15" thickBot="1" x14ac:dyDescent="0.35">
      <c r="D66" s="18">
        <v>1006</v>
      </c>
      <c r="E66" s="7" t="s">
        <v>51</v>
      </c>
      <c r="F66" s="7">
        <v>80</v>
      </c>
      <c r="G66" s="7">
        <v>70</v>
      </c>
      <c r="H66" s="7">
        <v>65</v>
      </c>
      <c r="I66">
        <f t="shared" si="2"/>
        <v>215</v>
      </c>
    </row>
    <row r="67" spans="4:9" ht="15" thickBot="1" x14ac:dyDescent="0.35">
      <c r="D67" s="18">
        <v>1007</v>
      </c>
      <c r="E67" s="7" t="s">
        <v>52</v>
      </c>
      <c r="F67" s="7">
        <v>75</v>
      </c>
      <c r="G67" s="7">
        <v>47</v>
      </c>
      <c r="H67" s="7">
        <v>78</v>
      </c>
      <c r="I67">
        <f t="shared" si="2"/>
        <v>200</v>
      </c>
    </row>
    <row r="68" spans="4:9" ht="15" thickBot="1" x14ac:dyDescent="0.35">
      <c r="D68" s="18">
        <v>1008</v>
      </c>
      <c r="E68" s="7" t="s">
        <v>53</v>
      </c>
      <c r="F68" s="7">
        <v>94</v>
      </c>
      <c r="G68" s="7">
        <v>67</v>
      </c>
      <c r="H68" s="7">
        <v>64</v>
      </c>
      <c r="I68">
        <f t="shared" si="2"/>
        <v>225</v>
      </c>
    </row>
    <row r="69" spans="4:9" ht="15" thickBot="1" x14ac:dyDescent="0.35">
      <c r="D69" s="18">
        <v>1009</v>
      </c>
      <c r="E69" s="7" t="s">
        <v>54</v>
      </c>
      <c r="F69" s="7">
        <v>41</v>
      </c>
      <c r="G69" s="7">
        <v>75</v>
      </c>
      <c r="H69" s="7">
        <v>56</v>
      </c>
      <c r="I69">
        <f t="shared" si="2"/>
        <v>172</v>
      </c>
    </row>
    <row r="70" spans="4:9" ht="29.4" thickBot="1" x14ac:dyDescent="0.35">
      <c r="D70" s="18">
        <v>1010</v>
      </c>
      <c r="E70" s="7" t="s">
        <v>55</v>
      </c>
      <c r="F70" s="7">
        <v>98</v>
      </c>
      <c r="G70" s="7">
        <v>54</v>
      </c>
      <c r="H70" s="7">
        <v>58</v>
      </c>
      <c r="I70">
        <f t="shared" si="2"/>
        <v>210</v>
      </c>
    </row>
    <row r="71" spans="4:9" ht="29.4" thickBot="1" x14ac:dyDescent="0.35">
      <c r="D71" s="18">
        <v>1011</v>
      </c>
      <c r="E71" s="7" t="s">
        <v>56</v>
      </c>
      <c r="F71" s="7">
        <v>73</v>
      </c>
      <c r="G71" s="7">
        <v>79</v>
      </c>
      <c r="H71" s="7">
        <v>53</v>
      </c>
      <c r="I71">
        <f t="shared" si="2"/>
        <v>205</v>
      </c>
    </row>
    <row r="72" spans="4:9" ht="29.4" thickBot="1" x14ac:dyDescent="0.35">
      <c r="D72" s="18">
        <v>1012</v>
      </c>
      <c r="E72" s="7" t="s">
        <v>57</v>
      </c>
      <c r="F72" s="7">
        <v>85</v>
      </c>
      <c r="G72" s="7">
        <v>89</v>
      </c>
      <c r="H72" s="7">
        <v>79</v>
      </c>
      <c r="I72">
        <f t="shared" si="2"/>
        <v>253</v>
      </c>
    </row>
    <row r="73" spans="4:9" ht="29.4" thickBot="1" x14ac:dyDescent="0.35">
      <c r="D73" s="18">
        <v>1013</v>
      </c>
      <c r="E73" s="7" t="s">
        <v>58</v>
      </c>
      <c r="F73" s="7">
        <v>98</v>
      </c>
      <c r="G73" s="7">
        <v>90</v>
      </c>
      <c r="H73" s="7">
        <v>97</v>
      </c>
      <c r="I73">
        <f t="shared" si="2"/>
        <v>285</v>
      </c>
    </row>
    <row r="74" spans="4:9" ht="29.4" thickBot="1" x14ac:dyDescent="0.35">
      <c r="D74" s="18">
        <v>1014</v>
      </c>
      <c r="E74" s="7" t="s">
        <v>59</v>
      </c>
      <c r="F74" s="7">
        <v>93</v>
      </c>
      <c r="G74" s="7">
        <v>40</v>
      </c>
      <c r="H74" s="7">
        <v>44</v>
      </c>
      <c r="I74">
        <f t="shared" si="2"/>
        <v>177</v>
      </c>
    </row>
    <row r="75" spans="4:9" ht="29.4" thickBot="1" x14ac:dyDescent="0.35">
      <c r="D75" s="18">
        <v>1015</v>
      </c>
      <c r="E75" s="7" t="s">
        <v>60</v>
      </c>
      <c r="F75" s="7">
        <v>70</v>
      </c>
      <c r="G75" s="7">
        <v>51</v>
      </c>
      <c r="H75" s="7">
        <v>75</v>
      </c>
      <c r="I75">
        <f t="shared" si="2"/>
        <v>196</v>
      </c>
    </row>
    <row r="76" spans="4:9" ht="29.4" thickBot="1" x14ac:dyDescent="0.35">
      <c r="D76" s="18">
        <v>1016</v>
      </c>
      <c r="E76" s="7" t="s">
        <v>61</v>
      </c>
      <c r="F76" s="7">
        <v>98</v>
      </c>
      <c r="G76" s="7">
        <v>77</v>
      </c>
      <c r="H76" s="7">
        <v>60</v>
      </c>
      <c r="I76">
        <f t="shared" si="2"/>
        <v>235</v>
      </c>
    </row>
    <row r="77" spans="4:9" ht="29.4" thickBot="1" x14ac:dyDescent="0.35">
      <c r="D77" s="18">
        <v>1017</v>
      </c>
      <c r="E77" s="7" t="s">
        <v>62</v>
      </c>
      <c r="F77" s="7">
        <v>66</v>
      </c>
      <c r="G77" s="7">
        <v>59</v>
      </c>
      <c r="H77" s="7">
        <v>40</v>
      </c>
      <c r="I77">
        <f t="shared" si="2"/>
        <v>165</v>
      </c>
    </row>
    <row r="78" spans="4:9" ht="29.4" thickBot="1" x14ac:dyDescent="0.35">
      <c r="D78" s="18">
        <v>1018</v>
      </c>
      <c r="E78" s="7" t="s">
        <v>63</v>
      </c>
      <c r="F78" s="7">
        <v>82</v>
      </c>
      <c r="G78" s="7">
        <v>48</v>
      </c>
      <c r="H78" s="7">
        <v>79</v>
      </c>
      <c r="I78">
        <f t="shared" si="2"/>
        <v>209</v>
      </c>
    </row>
    <row r="79" spans="4:9" ht="29.4" thickBot="1" x14ac:dyDescent="0.35">
      <c r="D79" s="18">
        <v>1019</v>
      </c>
      <c r="E79" s="7" t="s">
        <v>64</v>
      </c>
      <c r="F79" s="7">
        <v>90</v>
      </c>
      <c r="G79" s="7">
        <v>78</v>
      </c>
      <c r="H79" s="7">
        <v>60</v>
      </c>
      <c r="I79">
        <f t="shared" si="2"/>
        <v>228</v>
      </c>
    </row>
    <row r="80" spans="4:9" ht="29.4" thickBot="1" x14ac:dyDescent="0.35">
      <c r="D80" s="18">
        <v>1020</v>
      </c>
      <c r="E80" s="7" t="s">
        <v>65</v>
      </c>
      <c r="F80" s="7">
        <v>83</v>
      </c>
      <c r="G80" s="7">
        <v>92</v>
      </c>
      <c r="H80" s="7">
        <v>55</v>
      </c>
      <c r="I80">
        <f t="shared" si="2"/>
        <v>230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Vekariya</dc:creator>
  <cp:lastModifiedBy>Priyansh Vekariya</cp:lastModifiedBy>
  <dcterms:created xsi:type="dcterms:W3CDTF">2026-03-21T09:41:04Z</dcterms:created>
  <dcterms:modified xsi:type="dcterms:W3CDTF">2026-03-23T11:32:51Z</dcterms:modified>
</cp:coreProperties>
</file>